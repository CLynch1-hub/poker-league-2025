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Definition3.xml" ContentType="application/vnd.openxmlformats-officedocument.spreadsheetml.pivotCacheDefinition+xml"/>
  <Override PartName="/xl/pivotCache/pivotCacheDefinition4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7.xml" ContentType="application/vnd.openxmlformats-officedocument.spreadsheetml.table+xml"/>
  <Override PartName="/xl/queryTables/queryTable1.xml" ContentType="application/vnd.openxmlformats-officedocument.spreadsheetml.queryTable+xml"/>
  <Override PartName="/xl/tables/table8.xml" ContentType="application/vnd.openxmlformats-officedocument.spreadsheetml.table+xml"/>
  <Override PartName="/xl/queryTables/queryTable2.xml" ContentType="application/vnd.openxmlformats-officedocument.spreadsheetml.queryTable+xml"/>
  <Override PartName="/xl/pivotTables/pivotTable3.xml" ContentType="application/vnd.openxmlformats-officedocument.spreadsheetml.pivotTable+xml"/>
  <Override PartName="/xl/drawings/drawing3.xml" ContentType="application/vnd.openxmlformats-officedocument.drawing+xml"/>
  <Override PartName="/xl/tables/table9.xml" ContentType="application/vnd.openxmlformats-officedocument.spreadsheetml.table+xml"/>
  <Override PartName="/xl/queryTables/queryTable3.xml" ContentType="application/vnd.openxmlformats-officedocument.spreadsheetml.queryTab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ivotTables/pivotTable4.xml" ContentType="application/vnd.openxmlformats-officedocument.spreadsheetml.pivotTab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530"/>
  <workbookPr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Ciaran Lynch\Desktop\Poker\"/>
    </mc:Choice>
  </mc:AlternateContent>
  <xr:revisionPtr revIDLastSave="0" documentId="13_ncr:1_{FABFED60-9F16-47B7-85F2-6B426D149B8E}" xr6:coauthVersionLast="47" xr6:coauthVersionMax="47" xr10:uidLastSave="{00000000-0000-0000-0000-000000000000}"/>
  <bookViews>
    <workbookView xWindow="-120" yWindow="-120" windowWidth="29040" windowHeight="15840" firstSheet="4" activeTab="4" xr2:uid="{00000000-000D-0000-FFFF-FFFF00000000}"/>
  </bookViews>
  <sheets>
    <sheet name="Live Poker" sheetId="2" state="hidden" r:id="rId1"/>
    <sheet name="Online Poker" sheetId="1" state="hidden" r:id="rId2"/>
    <sheet name="online Home game" sheetId="4" state="hidden" r:id="rId3"/>
    <sheet name="Categories" sheetId="3" state="hidden" r:id="rId4"/>
    <sheet name="Home Game Structure" sheetId="7" r:id="rId5"/>
    <sheet name="Bar Poker Structure" sheetId="6" state="hidden" r:id="rId6"/>
    <sheet name="League Points Pivot" sheetId="9" r:id="rId7"/>
    <sheet name="ROI Pivot" sheetId="10" r:id="rId8"/>
    <sheet name="qry_Player_Stats" sheetId="12" r:id="rId9"/>
    <sheet name="Hosts" sheetId="14" r:id="rId10"/>
    <sheet name="Total Spend" sheetId="11" r:id="rId11"/>
  </sheets>
  <definedNames>
    <definedName name="_xlnm._FilterDatabase" localSheetId="6" hidden="1">'League Points Pivot'!$A$16:$C$16</definedName>
    <definedName name="ExternalData_1" localSheetId="8" hidden="1">qry_Player_Stats!$A$1:$E$50</definedName>
    <definedName name="ExternalData_2" localSheetId="8" hidden="1">qry_Player_Stats!$M$1:$O$13</definedName>
    <definedName name="ExternalData_3" localSheetId="9" hidden="1">Hosts!$A$1:$E$8</definedName>
    <definedName name="Starting_Stack">'League Points Pivot'!$A$12</definedName>
  </definedNames>
  <calcPr calcId="191029"/>
  <pivotCaches>
    <pivotCache cacheId="0" r:id="rId12"/>
    <pivotCache cacheId="1" r:id="rId13"/>
    <pivotCache cacheId="2" r:id="rId14"/>
    <pivotCache cacheId="3" r:id="rId15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Players_f84d94ac-e44e-4bc9-a068-03066e908b1b" name="Players" connection="Query - Players"/>
          <x15:modelTable id="Player_Game_Stats_c1ac3e98-9c87-4a54-b0e4-5c9dbdfbd8a0" name="Player_Game_Stats" connection="Query - Player_Game_Stats"/>
          <x15:modelTable id="Game_Number_0304b32e-91a9-417c-908d-28f82ad42b98" name="Game_Number" connection="Query - Game_Number"/>
          <x15:modelTable id="Structure_06facee1-714f-46a3-a9fb-840d8adc91db" name="Structure" connection="Query - Structure"/>
          <x15:modelTable id="Structure_Levels_27e0022b-0071-4aa9-af1d-588f478c83f8" name="Structure_Levels" connection="Query - Structure_Levels"/>
          <x15:modelTable id="qry_Player_Cash_Out_8c1b0b45-7109-4697-8d85-1b6bde6afde2" name="qry_Player_Cash_Out" connection="Query - qry_Player_Cash_Out"/>
          <x15:modelTable id="qry_Player_Stats_906092da-e03f-4cc3-9c7e-e405ae1f3545" name="qry_Player_Stats" connection="Query - qry_Player_Stats"/>
        </x15:modelTables>
        <x15:modelRelationships>
          <x15:modelRelationship fromTable="Player_Game_Stats" fromColumn="Game_Number" toTable="Game_Number" toColumn="ID"/>
          <x15:modelRelationship fromTable="Player_Game_Stats" fromColumn="BuyIn" toTable="Players" toColumn="PlayerNo"/>
          <x15:modelRelationship fromTable="Game_Number" fromColumn="Structure_ID" toTable="Structure" toColumn="Structure_ID"/>
          <x15:modelRelationship fromTable="Structure_Levels" fromColumn="Structure_ID" toTable="Structure" toColumn="Structure_ID"/>
          <x15:modelRelationship fromTable="qry_Player_Cash_Out" fromColumn="Game_Number" toTable="Game_Number" toColumn="ID"/>
        </x15:modelRelationship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51" i="12" l="1"/>
  <c r="D51" i="12"/>
  <c r="E51" i="12"/>
  <c r="F2" i="12"/>
  <c r="F3" i="12"/>
  <c r="F4" i="12"/>
  <c r="F5" i="12"/>
  <c r="F6" i="12"/>
  <c r="F7" i="12"/>
  <c r="F8" i="12"/>
  <c r="F9" i="12"/>
  <c r="F10" i="12"/>
  <c r="F11" i="12"/>
  <c r="F12" i="12"/>
  <c r="F13" i="12"/>
  <c r="F14" i="12"/>
  <c r="F15" i="12"/>
  <c r="F16" i="12"/>
  <c r="F17" i="12"/>
  <c r="F18" i="12"/>
  <c r="F19" i="12"/>
  <c r="F20" i="12"/>
  <c r="F21" i="12"/>
  <c r="F22" i="12"/>
  <c r="F23" i="12"/>
  <c r="F24" i="12"/>
  <c r="F25" i="12"/>
  <c r="F26" i="12"/>
  <c r="F27" i="12"/>
  <c r="F28" i="12"/>
  <c r="F29" i="12"/>
  <c r="F30" i="12"/>
  <c r="F31" i="12"/>
  <c r="F32" i="12"/>
  <c r="F33" i="12"/>
  <c r="F34" i="12"/>
  <c r="F35" i="12"/>
  <c r="F36" i="12"/>
  <c r="F37" i="12"/>
  <c r="F38" i="12"/>
  <c r="F39" i="12"/>
  <c r="F40" i="12"/>
  <c r="F41" i="12"/>
  <c r="F42" i="12"/>
  <c r="F43" i="12"/>
  <c r="F44" i="12"/>
  <c r="F45" i="12"/>
  <c r="F46" i="12"/>
  <c r="F47" i="12"/>
  <c r="F48" i="12"/>
  <c r="F49" i="12"/>
  <c r="F50" i="12"/>
  <c r="G2" i="12"/>
  <c r="G3" i="12"/>
  <c r="G4" i="12"/>
  <c r="G5" i="12"/>
  <c r="G6" i="12"/>
  <c r="G7" i="12"/>
  <c r="G8" i="12"/>
  <c r="G9" i="12"/>
  <c r="G10" i="12"/>
  <c r="G11" i="12"/>
  <c r="G12" i="12"/>
  <c r="G13" i="12"/>
  <c r="G14" i="12"/>
  <c r="G15" i="12"/>
  <c r="G16" i="12"/>
  <c r="G17" i="12"/>
  <c r="G18" i="12"/>
  <c r="G19" i="12"/>
  <c r="G20" i="12"/>
  <c r="G21" i="12"/>
  <c r="G22" i="12"/>
  <c r="G23" i="12"/>
  <c r="G24" i="12"/>
  <c r="G25" i="12"/>
  <c r="G26" i="12"/>
  <c r="G27" i="12"/>
  <c r="G28" i="12"/>
  <c r="G29" i="12"/>
  <c r="G30" i="12"/>
  <c r="G31" i="12"/>
  <c r="G32" i="12"/>
  <c r="G33" i="12"/>
  <c r="G34" i="12"/>
  <c r="G35" i="12"/>
  <c r="G36" i="12"/>
  <c r="G37" i="12"/>
  <c r="G38" i="12"/>
  <c r="G39" i="12"/>
  <c r="G40" i="12"/>
  <c r="G41" i="12"/>
  <c r="G42" i="12"/>
  <c r="G43" i="12"/>
  <c r="G44" i="12"/>
  <c r="G45" i="12"/>
  <c r="G46" i="12"/>
  <c r="G47" i="12"/>
  <c r="G48" i="12"/>
  <c r="G49" i="12"/>
  <c r="G50" i="12"/>
  <c r="D74" i="2" l="1"/>
  <c r="D73" i="2"/>
  <c r="D72" i="2"/>
  <c r="AC31" i="3"/>
  <c r="AB31" i="3"/>
  <c r="AA31" i="3"/>
  <c r="Y31" i="3"/>
  <c r="F51" i="12" l="1"/>
  <c r="K32" i="3"/>
  <c r="K31" i="3"/>
  <c r="K30" i="3"/>
  <c r="P29" i="3"/>
  <c r="D71" i="2"/>
  <c r="D70" i="2"/>
  <c r="D69" i="2"/>
  <c r="D68" i="2"/>
  <c r="V9" i="6"/>
  <c r="U3" i="6"/>
  <c r="W3" i="6" s="1"/>
  <c r="U4" i="6"/>
  <c r="W4" i="6" s="1"/>
  <c r="U5" i="6"/>
  <c r="U6" i="6"/>
  <c r="U7" i="6"/>
  <c r="W7" i="6" s="1"/>
  <c r="U8" i="6"/>
  <c r="W8" i="6" s="1"/>
  <c r="S9" i="6"/>
  <c r="T8" i="6"/>
  <c r="T7" i="6"/>
  <c r="W6" i="6"/>
  <c r="T6" i="6"/>
  <c r="W5" i="6"/>
  <c r="T5" i="6"/>
  <c r="T4" i="6"/>
  <c r="T9" i="6" s="1"/>
  <c r="T3" i="6"/>
  <c r="F5" i="7"/>
  <c r="F6" i="7" s="1"/>
  <c r="F7" i="7" s="1"/>
  <c r="F8" i="7" s="1"/>
  <c r="F9" i="7" s="1"/>
  <c r="F10" i="7" s="1"/>
  <c r="F11" i="7" s="1"/>
  <c r="F12" i="7" s="1"/>
  <c r="A5" i="7"/>
  <c r="A6" i="7" s="1"/>
  <c r="A8" i="7" s="1"/>
  <c r="A9" i="7" s="1"/>
  <c r="A11" i="7" s="1"/>
  <c r="E4" i="7"/>
  <c r="E5" i="7" s="1"/>
  <c r="E6" i="7" s="1"/>
  <c r="M9" i="3"/>
  <c r="L9" i="3"/>
  <c r="L4" i="3"/>
  <c r="L5" i="3"/>
  <c r="L6" i="3"/>
  <c r="L7" i="3"/>
  <c r="N7" i="3" s="1"/>
  <c r="L8" i="3"/>
  <c r="L3" i="3"/>
  <c r="K8" i="3"/>
  <c r="N8" i="3"/>
  <c r="N3" i="3"/>
  <c r="N4" i="3"/>
  <c r="N5" i="3"/>
  <c r="N6" i="3"/>
  <c r="K3" i="3"/>
  <c r="K4" i="3"/>
  <c r="K5" i="3"/>
  <c r="K6" i="3"/>
  <c r="K7" i="3"/>
  <c r="J9" i="3"/>
  <c r="D67" i="2"/>
  <c r="A25" i="6"/>
  <c r="A24" i="6"/>
  <c r="A23" i="6"/>
  <c r="A21" i="6"/>
  <c r="F4" i="6"/>
  <c r="F5" i="6" s="1"/>
  <c r="F6" i="6" s="1"/>
  <c r="F7" i="6" s="1"/>
  <c r="F8" i="6" s="1"/>
  <c r="F9" i="6" s="1"/>
  <c r="F10" i="6" s="1"/>
  <c r="F11" i="6" s="1"/>
  <c r="F12" i="6" s="1"/>
  <c r="F13" i="6" s="1"/>
  <c r="F14" i="6" s="1"/>
  <c r="F15" i="6" s="1"/>
  <c r="F16" i="6" s="1"/>
  <c r="F17" i="6" s="1"/>
  <c r="F18" i="6" s="1"/>
  <c r="F19" i="6" s="1"/>
  <c r="D66" i="2"/>
  <c r="A14" i="6"/>
  <c r="A15" i="6" s="1"/>
  <c r="A16" i="6" s="1"/>
  <c r="A18" i="6" s="1"/>
  <c r="A19" i="6" s="1"/>
  <c r="A20" i="6" s="1"/>
  <c r="A10" i="6"/>
  <c r="A11" i="6" s="1"/>
  <c r="A4" i="6"/>
  <c r="A5" i="6" s="1"/>
  <c r="A6" i="6" s="1"/>
  <c r="A8" i="6" s="1"/>
  <c r="E3" i="6"/>
  <c r="E4" i="6" s="1"/>
  <c r="E5" i="6" s="1"/>
  <c r="E6" i="6" s="1"/>
  <c r="E7" i="6" s="1"/>
  <c r="E8" i="6" s="1"/>
  <c r="H8" i="3"/>
  <c r="E49" i="3"/>
  <c r="E50" i="3" s="1"/>
  <c r="E51" i="3" s="1"/>
  <c r="E52" i="3" s="1"/>
  <c r="E53" i="3" s="1"/>
  <c r="E54" i="3" s="1"/>
  <c r="E55" i="3" s="1"/>
  <c r="E56" i="3" s="1"/>
  <c r="E57" i="3" s="1"/>
  <c r="E58" i="3" s="1"/>
  <c r="E59" i="3" s="1"/>
  <c r="E60" i="3" s="1"/>
  <c r="E61" i="3" s="1"/>
  <c r="E62" i="3" s="1"/>
  <c r="E63" i="3" s="1"/>
  <c r="E64" i="3" s="1"/>
  <c r="E65" i="3" s="1"/>
  <c r="E66" i="3" s="1"/>
  <c r="E67" i="3" s="1"/>
  <c r="E68" i="3" s="1"/>
  <c r="E69" i="3" s="1"/>
  <c r="E70" i="3" s="1"/>
  <c r="F50" i="3"/>
  <c r="F51" i="3" s="1"/>
  <c r="F52" i="3" s="1"/>
  <c r="F53" i="3" s="1"/>
  <c r="F54" i="3" s="1"/>
  <c r="F55" i="3" s="1"/>
  <c r="F56" i="3" s="1"/>
  <c r="F57" i="3" s="1"/>
  <c r="F58" i="3" s="1"/>
  <c r="F59" i="3" s="1"/>
  <c r="F60" i="3" s="1"/>
  <c r="F61" i="3" s="1"/>
  <c r="F62" i="3" s="1"/>
  <c r="F63" i="3" s="1"/>
  <c r="F64" i="3" s="1"/>
  <c r="F65" i="3" s="1"/>
  <c r="F66" i="3" s="1"/>
  <c r="F67" i="3" s="1"/>
  <c r="F68" i="3" s="1"/>
  <c r="F69" i="3" s="1"/>
  <c r="F70" i="3" s="1"/>
  <c r="A50" i="3"/>
  <c r="A51" i="3" s="1"/>
  <c r="A52" i="3" s="1"/>
  <c r="A53" i="3" s="1"/>
  <c r="E7" i="7" l="1"/>
  <c r="E8" i="7" s="1"/>
  <c r="E9" i="7" s="1"/>
  <c r="E10" i="7" s="1"/>
  <c r="E11" i="7" s="1"/>
  <c r="W9" i="6"/>
  <c r="U9" i="6"/>
  <c r="N9" i="3"/>
  <c r="K9" i="3"/>
  <c r="F20" i="6"/>
  <c r="F21" i="6" s="1"/>
  <c r="F22" i="6" s="1"/>
  <c r="F23" i="6" s="1"/>
  <c r="E9" i="6"/>
  <c r="E10" i="6" s="1"/>
  <c r="A55" i="3"/>
  <c r="A59" i="3" s="1"/>
  <c r="A60" i="3" s="1"/>
  <c r="A61" i="3" s="1"/>
  <c r="A62" i="3" s="1"/>
  <c r="A64" i="3" s="1"/>
  <c r="A65" i="3" s="1"/>
  <c r="D65" i="2"/>
  <c r="D64" i="2"/>
  <c r="D63" i="2"/>
  <c r="D62" i="2"/>
  <c r="D61" i="2"/>
  <c r="D60" i="2"/>
  <c r="D59" i="2"/>
  <c r="D58" i="2"/>
  <c r="D57" i="2"/>
  <c r="D56" i="2"/>
  <c r="D3" i="2"/>
  <c r="D2" i="2"/>
  <c r="D55" i="2"/>
  <c r="F16" i="3"/>
  <c r="F17" i="3" s="1"/>
  <c r="F18" i="3" s="1"/>
  <c r="F19" i="3" s="1"/>
  <c r="A16" i="3"/>
  <c r="A17" i="3" s="1"/>
  <c r="A18" i="3" s="1"/>
  <c r="A19" i="3" s="1"/>
  <c r="A21" i="3" s="1"/>
  <c r="A22" i="3" s="1"/>
  <c r="A23" i="3" s="1"/>
  <c r="D54" i="2"/>
  <c r="E15" i="3"/>
  <c r="E17" i="3" s="1"/>
  <c r="D53" i="2"/>
  <c r="D52" i="2"/>
  <c r="D51" i="2"/>
  <c r="D50" i="2"/>
  <c r="D49" i="2"/>
  <c r="D4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20" i="1"/>
  <c r="F24" i="6" l="1"/>
  <c r="E11" i="6"/>
  <c r="E12" i="6" s="1"/>
  <c r="E13" i="6" s="1"/>
  <c r="E14" i="6" s="1"/>
  <c r="E15" i="6" s="1"/>
  <c r="E16" i="6" s="1"/>
  <c r="F20" i="3"/>
  <c r="F21" i="3" s="1"/>
  <c r="F22" i="3" s="1"/>
  <c r="F23" i="3" s="1"/>
  <c r="A25" i="3"/>
  <c r="A26" i="3" s="1"/>
  <c r="A27" i="3" s="1"/>
  <c r="A28" i="3" s="1"/>
  <c r="A29" i="3" s="1"/>
  <c r="A31" i="3" s="1"/>
  <c r="A32" i="3" s="1"/>
  <c r="A33" i="3" s="1"/>
  <c r="A34" i="3" s="1"/>
  <c r="A36" i="3" s="1"/>
  <c r="A37" i="3" s="1"/>
  <c r="E18" i="3"/>
  <c r="E19" i="3" s="1"/>
  <c r="E21" i="3" s="1"/>
  <c r="E22" i="3" s="1"/>
  <c r="E23" i="3" s="1"/>
  <c r="D75" i="2"/>
  <c r="D19" i="1"/>
  <c r="F25" i="6" l="1"/>
  <c r="E17" i="6"/>
  <c r="E18" i="6" s="1"/>
  <c r="E19" i="6" s="1"/>
  <c r="E20" i="6" s="1"/>
  <c r="E21" i="6" s="1"/>
  <c r="E22" i="6" s="1"/>
  <c r="E23" i="6" s="1"/>
  <c r="E24" i="6" s="1"/>
  <c r="E25" i="6" s="1"/>
  <c r="E24" i="3"/>
  <c r="E25" i="3" s="1"/>
  <c r="E26" i="3" s="1"/>
  <c r="E27" i="3" s="1"/>
  <c r="E28" i="3" s="1"/>
  <c r="E29" i="3" s="1"/>
  <c r="E30" i="3" s="1"/>
  <c r="E31" i="3" s="1"/>
  <c r="E32" i="3" s="1"/>
  <c r="E33" i="3" s="1"/>
  <c r="E34" i="3" s="1"/>
  <c r="E35" i="3" s="1"/>
  <c r="E36" i="3" s="1"/>
  <c r="E37" i="3" s="1"/>
  <c r="E38" i="3" s="1"/>
  <c r="F24" i="3"/>
  <c r="F25" i="3" s="1"/>
  <c r="F26" i="3" s="1"/>
  <c r="F27" i="3" s="1"/>
  <c r="F28" i="3" s="1"/>
  <c r="F29" i="3" s="1"/>
  <c r="F30" i="3" s="1"/>
  <c r="F31" i="3" s="1"/>
  <c r="F32" i="3" s="1"/>
  <c r="F33" i="3" s="1"/>
  <c r="F34" i="3" s="1"/>
  <c r="F35" i="3" s="1"/>
  <c r="F36" i="3" s="1"/>
  <c r="F37" i="3" s="1"/>
  <c r="F38" i="3" s="1"/>
  <c r="D18" i="1"/>
  <c r="D17" i="1"/>
  <c r="D16" i="1"/>
  <c r="D15" i="1"/>
  <c r="D14" i="1"/>
  <c r="F26" i="6" l="1"/>
  <c r="B11" i="1"/>
  <c r="D9" i="1" l="1"/>
  <c r="D13" i="1"/>
  <c r="D12" i="1"/>
  <c r="D11" i="1"/>
  <c r="D10" i="1"/>
  <c r="H19" i="4" l="1"/>
  <c r="G19" i="4"/>
  <c r="E18" i="4"/>
  <c r="F26" i="4"/>
  <c r="G22" i="4" s="1"/>
  <c r="F19" i="4"/>
  <c r="E17" i="4"/>
  <c r="E16" i="4"/>
  <c r="E15" i="4"/>
  <c r="E14" i="4"/>
  <c r="E13" i="4"/>
  <c r="E12" i="4"/>
  <c r="G24" i="4" l="1"/>
  <c r="G23" i="4"/>
  <c r="G25" i="4"/>
  <c r="E2" i="4"/>
  <c r="E3" i="4"/>
  <c r="E4" i="4"/>
  <c r="E5" i="4"/>
  <c r="E6" i="4"/>
  <c r="E7" i="4"/>
  <c r="E8" i="4"/>
  <c r="E9" i="4"/>
  <c r="E10" i="4"/>
  <c r="E11" i="4"/>
  <c r="D19" i="4"/>
  <c r="C19" i="4"/>
  <c r="B19" i="4"/>
  <c r="O19" i="4"/>
  <c r="G26" i="4" l="1"/>
  <c r="F75" i="2"/>
  <c r="D8" i="1" l="1"/>
  <c r="B7" i="1" l="1"/>
  <c r="D7" i="1" s="1"/>
  <c r="B6" i="1" l="1"/>
  <c r="D6" i="1" s="1"/>
  <c r="B4" i="1" l="1"/>
  <c r="B5" i="1"/>
  <c r="D5" i="1" s="1"/>
  <c r="K21" i="1" l="1"/>
  <c r="B22" i="1" s="1"/>
  <c r="C75" i="2" l="1"/>
  <c r="B83" i="2" s="1"/>
  <c r="B75" i="2"/>
  <c r="B82" i="2" s="1"/>
  <c r="E75" i="2"/>
  <c r="B77" i="2" l="1"/>
  <c r="B78" i="2"/>
  <c r="J21" i="1"/>
  <c r="I21" i="1"/>
  <c r="D4" i="1"/>
  <c r="B3" i="1"/>
  <c r="D3" i="1" s="1"/>
  <c r="E21" i="1"/>
  <c r="D2" i="1"/>
  <c r="B79" i="2" l="1"/>
  <c r="C76" i="2" s="1"/>
  <c r="B26" i="1"/>
  <c r="D21" i="1"/>
  <c r="B24" i="1" s="1"/>
  <c r="B80" i="2" l="1"/>
  <c r="B81" i="2" s="1"/>
  <c r="C25" i="1"/>
  <c r="B25" i="1" s="1"/>
  <c r="B23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Setup</author>
  </authors>
  <commentList>
    <comment ref="E76" authorId="0" shapeId="0" xr:uid="{5B430998-B1AE-41AC-BC45-88A958DF493A}">
      <text>
        <r>
          <rPr>
            <b/>
            <sz val="9"/>
            <color indexed="81"/>
            <rFont val="Tahoma"/>
            <family val="2"/>
          </rPr>
          <t>Setup:</t>
        </r>
        <r>
          <rPr>
            <sz val="9"/>
            <color indexed="81"/>
            <rFont val="Tahoma"/>
            <family val="2"/>
          </rPr>
          <t xml:space="preserve">
To get a new Line, keep pressing the tab key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54F97C0-9C0D-4CE8-A39B-8C965159FC67}" keepAlive="1" name="ModelConnection_ExternalData_1" description="Data Model" type="5" refreshedVersion="8" minRefreshableVersion="5" saveData="1">
    <dbPr connection="Data Model Connection" command="qry_Player_Stats" commandType="3"/>
    <extLst>
      <ext xmlns:x15="http://schemas.microsoft.com/office/spreadsheetml/2010/11/main" uri="{DE250136-89BD-433C-8126-D09CA5730AF9}">
        <x15:connection id="" model="1"/>
      </ext>
    </extLst>
  </connection>
  <connection id="2" xr16:uid="{AB4406D7-BBB4-4BD0-8F10-F4DD1DD05962}" keepAlive="1" name="ModelConnection_ExternalData_3" description="Data Model" type="5" refreshedVersion="8" minRefreshableVersion="5" saveData="1">
    <dbPr connection="Data Model Connection" command="Game_Number" commandType="3"/>
    <extLst>
      <ext xmlns:x15="http://schemas.microsoft.com/office/spreadsheetml/2010/11/main" uri="{DE250136-89BD-433C-8126-D09CA5730AF9}">
        <x15:connection id="" model="1"/>
      </ext>
    </extLst>
  </connection>
  <connection id="3" xr16:uid="{156EC073-23B9-487E-8C3B-7C023A1FBFFE}" name="Query - Game_Number" description="Connection to the 'Game_Number' query in the workbook." type="100" refreshedVersion="8" minRefreshableVersion="5">
    <extLst>
      <ext xmlns:x15="http://schemas.microsoft.com/office/spreadsheetml/2010/11/main" uri="{DE250136-89BD-433C-8126-D09CA5730AF9}">
        <x15:connection id="95186a2c-d0a6-4f25-b798-5cc79bbb636f"/>
      </ext>
    </extLst>
  </connection>
  <connection id="4" xr16:uid="{123F24A3-6A9E-4DB8-9565-1BAF058B882D}" name="Query - Player_Game_Stats" description="Connection to the 'Player_Game_Stats' query in the workbook." type="100" refreshedVersion="8" minRefreshableVersion="5">
    <extLst>
      <ext xmlns:x15="http://schemas.microsoft.com/office/spreadsheetml/2010/11/main" uri="{DE250136-89BD-433C-8126-D09CA5730AF9}">
        <x15:connection id="8978649b-4d6e-4541-9631-c19d65488016"/>
      </ext>
    </extLst>
  </connection>
  <connection id="5" xr16:uid="{04103BBF-4CF9-42FC-A759-F62ABFC3B68E}" name="Query - Players" description="Connection to the 'Players' query in the workbook." type="100" refreshedVersion="8" minRefreshableVersion="5">
    <extLst>
      <ext xmlns:x15="http://schemas.microsoft.com/office/spreadsheetml/2010/11/main" uri="{DE250136-89BD-433C-8126-D09CA5730AF9}">
        <x15:connection id="65f382ef-b239-4c3b-8441-b657c4ffa92f"/>
      </ext>
    </extLst>
  </connection>
  <connection id="6" xr16:uid="{23E17F1A-1E95-427B-8295-0AD48D299510}" keepAlive="1" name="Query - Players (2)" description="Connection to the 'Players (2)' query in the workbook." type="5" refreshedVersion="8" background="1" saveData="1">
    <dbPr connection="Provider=Microsoft.Mashup.OleDb.1;Data Source=$Workbook$;Location=&quot;Players (2)&quot;;Extended Properties=&quot;&quot;" command="SELECT * FROM [Players (2)]"/>
  </connection>
  <connection id="7" xr16:uid="{4DE9B293-ED94-42B5-9334-703132FB83C2}" name="Query - qry_Player_Cash_Out" description="Connection to the 'qry_Player_Cash_Out' query in the workbook." type="100" refreshedVersion="8" minRefreshableVersion="5">
    <extLst>
      <ext xmlns:x15="http://schemas.microsoft.com/office/spreadsheetml/2010/11/main" uri="{DE250136-89BD-433C-8126-D09CA5730AF9}">
        <x15:connection id="a5d669b7-72e3-4c83-b111-945ff5bbd650"/>
      </ext>
    </extLst>
  </connection>
  <connection id="8" xr16:uid="{1F85D29F-A6ED-4800-8949-D07B180629F3}" name="Query - qry_Player_Stats" description="Connection to the 'qry_Player_Stats' query in the workbook." type="100" refreshedVersion="8" minRefreshableVersion="5">
    <extLst>
      <ext xmlns:x15="http://schemas.microsoft.com/office/spreadsheetml/2010/11/main" uri="{DE250136-89BD-433C-8126-D09CA5730AF9}">
        <x15:connection id="11ca5199-b31f-45bd-a0a4-8c4988652144"/>
      </ext>
    </extLst>
  </connection>
  <connection id="9" xr16:uid="{B019762A-15EF-4E19-8A9A-41292138FE49}" name="Query - Structure" description="Connection to the 'Structure' query in the workbook." type="100" refreshedVersion="8" minRefreshableVersion="5">
    <extLst>
      <ext xmlns:x15="http://schemas.microsoft.com/office/spreadsheetml/2010/11/main" uri="{DE250136-89BD-433C-8126-D09CA5730AF9}">
        <x15:connection id="d3d568a9-c9c2-44ea-9ef3-bcb216b58678"/>
      </ext>
    </extLst>
  </connection>
  <connection id="10" xr16:uid="{CED9A0D5-F942-4A52-B772-97902DB13F66}" name="Query - Structure_Levels" description="Connection to the 'Structure_Levels' query in the workbook." type="100" refreshedVersion="8" minRefreshableVersion="5">
    <extLst>
      <ext xmlns:x15="http://schemas.microsoft.com/office/spreadsheetml/2010/11/main" uri="{DE250136-89BD-433C-8126-D09CA5730AF9}">
        <x15:connection id="6edc85e3-6686-44d3-9607-d61e825312f9"/>
      </ext>
    </extLst>
  </connection>
  <connection id="11" xr16:uid="{0774D2ED-9328-4A08-8AA6-E648C1B56DEC}" keepAlive="1" name="ThisWorkbookDataModel" description="Data Model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</connections>
</file>

<file path=xl/sharedStrings.xml><?xml version="1.0" encoding="utf-8"?>
<sst xmlns="http://schemas.openxmlformats.org/spreadsheetml/2006/main" count="442" uniqueCount="178">
  <si>
    <t>Date</t>
  </si>
  <si>
    <t>OP Bal</t>
  </si>
  <si>
    <t>Closing Bal</t>
  </si>
  <si>
    <t>Time</t>
  </si>
  <si>
    <t>Game</t>
  </si>
  <si>
    <t>50/50</t>
  </si>
  <si>
    <t>Buy In</t>
  </si>
  <si>
    <t>$1.50</t>
  </si>
  <si>
    <t>profit / Loss</t>
  </si>
  <si>
    <t>Total</t>
  </si>
  <si>
    <t>Tourneys Played</t>
  </si>
  <si>
    <t>Tourneys Cashed</t>
  </si>
  <si>
    <t>Buy in</t>
  </si>
  <si>
    <t>Cash Out</t>
  </si>
  <si>
    <t>Return</t>
  </si>
  <si>
    <t>ROI</t>
  </si>
  <si>
    <t>Profit / Loss</t>
  </si>
  <si>
    <t>% return</t>
  </si>
  <si>
    <t>Profit</t>
  </si>
  <si>
    <t>Liability</t>
  </si>
  <si>
    <t>Comment</t>
  </si>
  <si>
    <t>1 at $3.50</t>
  </si>
  <si>
    <t>Game type</t>
  </si>
  <si>
    <t>Home Game</t>
  </si>
  <si>
    <t>Site</t>
  </si>
  <si>
    <t>PokerStars</t>
  </si>
  <si>
    <t>total Cost of Entries</t>
  </si>
  <si>
    <t>Live Tournament</t>
  </si>
  <si>
    <t>Online</t>
  </si>
  <si>
    <t>Game Type</t>
  </si>
  <si>
    <t>Online Home Game</t>
  </si>
  <si>
    <t>Barry</t>
  </si>
  <si>
    <t>Name</t>
  </si>
  <si>
    <t>Ciaran Lynch</t>
  </si>
  <si>
    <t>Martin Hunter</t>
  </si>
  <si>
    <t>Barry Hunter</t>
  </si>
  <si>
    <t>Ronan Curran</t>
  </si>
  <si>
    <t>Morgan Mooney</t>
  </si>
  <si>
    <t>Cian Curran</t>
  </si>
  <si>
    <t>Caroline Lynch</t>
  </si>
  <si>
    <t>Conor Kelly</t>
  </si>
  <si>
    <t xml:space="preserve">Mary  </t>
  </si>
  <si>
    <t>Winnings</t>
  </si>
  <si>
    <t>Paid</t>
  </si>
  <si>
    <t>Column6</t>
  </si>
  <si>
    <t>Column7</t>
  </si>
  <si>
    <t>Column8</t>
  </si>
  <si>
    <t>Column9</t>
  </si>
  <si>
    <t>Column10</t>
  </si>
  <si>
    <t>Column11</t>
  </si>
  <si>
    <t>Keith</t>
  </si>
  <si>
    <t>20-Mar Paid</t>
  </si>
  <si>
    <t>Balance Due</t>
  </si>
  <si>
    <t>10/04/2020</t>
  </si>
  <si>
    <t>Winnings2</t>
  </si>
  <si>
    <t>Balance due2</t>
  </si>
  <si>
    <t>Joe</t>
  </si>
  <si>
    <t>Wally</t>
  </si>
  <si>
    <t>Brody</t>
  </si>
  <si>
    <t>Tom</t>
  </si>
  <si>
    <t>James</t>
  </si>
  <si>
    <t>Rameez</t>
  </si>
  <si>
    <t>1st</t>
  </si>
  <si>
    <t>2nd</t>
  </si>
  <si>
    <t>3rd</t>
  </si>
  <si>
    <t>4th</t>
  </si>
  <si>
    <t>Kevin</t>
  </si>
  <si>
    <t>Tom -Small cats</t>
  </si>
  <si>
    <t>Paid2</t>
  </si>
  <si>
    <t>cash</t>
  </si>
  <si>
    <t>Bank Transfer</t>
  </si>
  <si>
    <t>revolut</t>
  </si>
  <si>
    <t>% Cash</t>
  </si>
  <si>
    <t>Outlay Per  Night</t>
  </si>
  <si>
    <t>Return Per night</t>
  </si>
  <si>
    <t>.</t>
  </si>
  <si>
    <t>Texas Hold'em Only</t>
  </si>
  <si>
    <t>1 Stud Game also lost €20</t>
  </si>
  <si>
    <t>1 Stud Game Lost €10</t>
  </si>
  <si>
    <t>2 hold em games</t>
  </si>
  <si>
    <t>Hold EmTourney played</t>
  </si>
  <si>
    <t>Sterling</t>
  </si>
  <si>
    <t>SB</t>
  </si>
  <si>
    <t>BB</t>
  </si>
  <si>
    <t>Total Time</t>
  </si>
  <si>
    <t>Level</t>
  </si>
  <si>
    <t>Break</t>
  </si>
  <si>
    <t>Cash up 100's</t>
  </si>
  <si>
    <t>Cash up 500's</t>
  </si>
  <si>
    <t>Finished</t>
  </si>
  <si>
    <t>Start Time</t>
  </si>
  <si>
    <t>Cash up 1,000's</t>
  </si>
  <si>
    <t>Bar Game - Letterkenny</t>
  </si>
  <si>
    <t>Poker Tournament</t>
  </si>
  <si>
    <t>Cash up 1000's</t>
  </si>
  <si>
    <t>Chip</t>
  </si>
  <si>
    <t>Number Allocated</t>
  </si>
  <si>
    <t>1 Hold Em game</t>
  </si>
  <si>
    <t>New Poker Structure</t>
  </si>
  <si>
    <t>Finish</t>
  </si>
  <si>
    <t>Break - Cash up 100's</t>
  </si>
  <si>
    <t>Start Level</t>
  </si>
  <si>
    <t>Players</t>
  </si>
  <si>
    <t>Chip Denomination</t>
  </si>
  <si>
    <t>In Game Chips Per Person</t>
  </si>
  <si>
    <t>Chip Value Per Person</t>
  </si>
  <si>
    <t>In Play Chips Required</t>
  </si>
  <si>
    <t>Cash Up Chips</t>
  </si>
  <si>
    <t>Total Chips Required</t>
  </si>
  <si>
    <t xml:space="preserve">Bar Game Structure - </t>
  </si>
  <si>
    <t>Based on</t>
  </si>
  <si>
    <t>2025 Poker League</t>
  </si>
  <si>
    <t>Play 12 games over 2025</t>
  </si>
  <si>
    <t>Each Player will pay €100 over the year towards the League Final - to be involved in the final</t>
  </si>
  <si>
    <t>For example, a player cashes out €65 in January 2025 and €45 in February 2025 = Total points banked = 110</t>
  </si>
  <si>
    <t>The Final needs to be  tournament with 1st, 2nd and 3rd paid</t>
  </si>
  <si>
    <t>All players who enter will get a minimum stack on the night, regardless of points accumulated</t>
  </si>
  <si>
    <t>Total points banked over the 12 games * 50, will be your starting stack</t>
  </si>
  <si>
    <t>Any player below 150 points banked will have their stack uplifted to the minimum starting stack</t>
  </si>
  <si>
    <t>The minimum starting stack = 7,500</t>
  </si>
  <si>
    <t>For example - a player banks 80 points over the year * 50 = 4,000 - so their stack on the night will be 7,500</t>
  </si>
  <si>
    <t>players to committ</t>
  </si>
  <si>
    <t>Players must pay  €10 per night over the first 10 months</t>
  </si>
  <si>
    <t>=</t>
  </si>
  <si>
    <t xml:space="preserve">If we get </t>
  </si>
  <si>
    <t>The € cash of each of the 12 events, out will be your points towards the Final</t>
  </si>
  <si>
    <t>reckon</t>
  </si>
  <si>
    <t>players</t>
  </si>
  <si>
    <t>rebuys</t>
  </si>
  <si>
    <t>total rebuys</t>
  </si>
  <si>
    <t>Nightly total</t>
  </si>
  <si>
    <t>games</t>
  </si>
  <si>
    <t>Invested</t>
  </si>
  <si>
    <t>Chip Points</t>
  </si>
  <si>
    <t>Avg Chip Points</t>
  </si>
  <si>
    <t>Row Labels</t>
  </si>
  <si>
    <t>Kevin Lee</t>
  </si>
  <si>
    <t>Seamus Diver</t>
  </si>
  <si>
    <t>Steven Black</t>
  </si>
  <si>
    <t>Grand Total</t>
  </si>
  <si>
    <t>Sum of League Points</t>
  </si>
  <si>
    <t>Mark Hunter</t>
  </si>
  <si>
    <t>Sum of ROI</t>
  </si>
  <si>
    <t>Sum of Total Cost</t>
  </si>
  <si>
    <t>Brendan Stevenson</t>
  </si>
  <si>
    <t>Game_Number</t>
  </si>
  <si>
    <t>PlayerNo</t>
  </si>
  <si>
    <t>BuyIn</t>
  </si>
  <si>
    <t>Rebuy</t>
  </si>
  <si>
    <t>CashOut</t>
  </si>
  <si>
    <t>FullName</t>
  </si>
  <si>
    <t>Title</t>
  </si>
  <si>
    <t>Event Manager</t>
  </si>
  <si>
    <t>Tournament Director</t>
  </si>
  <si>
    <t>Bollywood</t>
  </si>
  <si>
    <t>River Diver</t>
  </si>
  <si>
    <t>Could have checked</t>
  </si>
  <si>
    <t>Bluff Master</t>
  </si>
  <si>
    <t>The Sage</t>
  </si>
  <si>
    <t>Youth Player breaking through</t>
  </si>
  <si>
    <t>Brian Stevenson</t>
  </si>
  <si>
    <t>On Loan to Carlow</t>
  </si>
  <si>
    <t>Bit Like Anthony at Man Utd</t>
  </si>
  <si>
    <t>Newbie</t>
  </si>
  <si>
    <t>PlayerName</t>
  </si>
  <si>
    <t>Count of Host</t>
  </si>
  <si>
    <t>Game_Date</t>
  </si>
  <si>
    <t>Host</t>
  </si>
  <si>
    <t>Structure_ID</t>
  </si>
  <si>
    <t>Players.FullName</t>
  </si>
  <si>
    <t>Ryan **</t>
  </si>
  <si>
    <t>Game_ID</t>
  </si>
  <si>
    <t>Starting Stack (15,000 + free 15,000 Add-on)</t>
  </si>
  <si>
    <t>1 Optional Rebuy / Top Up = 20,000 in chips to be taken by end of level5</t>
  </si>
  <si>
    <t>Chips at end of level 6 divided by 1,000</t>
  </si>
  <si>
    <t>Cash Out=</t>
  </si>
  <si>
    <t>League Points=</t>
  </si>
  <si>
    <t>Chips at end of level 6 multiplied by 50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</si>
</sst>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3" formatCode="_-* #,##0.00_-;\-* #,##0.00_-;_-* &quot;-&quot;??_-;_-@_-"/>
    <numFmt numFmtId="164" formatCode="[$$-409]#,##0.00"/>
    <numFmt numFmtId="165" formatCode="[$-1809]dd\ mmmm\ yyyy;@"/>
    <numFmt numFmtId="166" formatCode="&quot;€&quot;#,##0.00"/>
    <numFmt numFmtId="167" formatCode="_-* #,##0_-;\-* #,##0_-;_-* &quot;-&quot;??_-;_-@_-"/>
  </numFmts>
  <fonts count="1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18"/>
      <color theme="1"/>
      <name val="Algerian"/>
      <family val="5"/>
    </font>
    <font>
      <b/>
      <sz val="18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i/>
      <sz val="14"/>
      <color theme="1"/>
      <name val="Calibri"/>
      <family val="2"/>
      <scheme val="minor"/>
    </font>
    <font>
      <b/>
      <i/>
      <sz val="20"/>
      <color theme="1"/>
      <name val="Calibri"/>
      <family val="2"/>
      <scheme val="minor"/>
    </font>
    <font>
      <b/>
      <i/>
      <sz val="1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2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2">
    <xf numFmtId="0" fontId="0" fillId="0" borderId="0"/>
    <xf numFmtId="43" fontId="6" fillId="0" borderId="0" applyFont="0" applyFill="0" applyBorder="0" applyAlignment="0" applyProtection="0"/>
  </cellStyleXfs>
  <cellXfs count="124">
    <xf numFmtId="0" fontId="0" fillId="0" borderId="0" xfId="0"/>
    <xf numFmtId="20" fontId="0" fillId="0" borderId="0" xfId="0" applyNumberFormat="1"/>
    <xf numFmtId="164" fontId="0" fillId="0" borderId="0" xfId="0" applyNumberFormat="1"/>
    <xf numFmtId="165" fontId="0" fillId="0" borderId="0" xfId="0" applyNumberFormat="1"/>
    <xf numFmtId="46" fontId="0" fillId="0" borderId="0" xfId="0" applyNumberFormat="1"/>
    <xf numFmtId="164" fontId="0" fillId="0" borderId="0" xfId="0" applyNumberFormat="1" applyAlignment="1">
      <alignment horizontal="right"/>
    </xf>
    <xf numFmtId="0" fontId="0" fillId="0" borderId="0" xfId="0" applyAlignment="1">
      <alignment horizontal="right"/>
    </xf>
    <xf numFmtId="165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166" fontId="0" fillId="0" borderId="0" xfId="0" applyNumberFormat="1" applyAlignment="1">
      <alignment horizontal="right"/>
    </xf>
    <xf numFmtId="165" fontId="0" fillId="0" borderId="1" xfId="0" applyNumberFormat="1" applyBorder="1" applyAlignment="1">
      <alignment horizontal="left"/>
    </xf>
    <xf numFmtId="166" fontId="0" fillId="0" borderId="1" xfId="0" applyNumberFormat="1" applyBorder="1" applyAlignment="1">
      <alignment horizontal="right"/>
    </xf>
    <xf numFmtId="10" fontId="0" fillId="0" borderId="1" xfId="0" applyNumberFormat="1" applyBorder="1" applyAlignment="1">
      <alignment horizontal="right"/>
    </xf>
    <xf numFmtId="166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166" fontId="1" fillId="0" borderId="1" xfId="0" applyNumberFormat="1" applyFont="1" applyBorder="1" applyAlignment="1">
      <alignment horizontal="right"/>
    </xf>
    <xf numFmtId="165" fontId="1" fillId="0" borderId="1" xfId="0" applyNumberFormat="1" applyFont="1" applyBorder="1" applyAlignment="1">
      <alignment horizontal="left"/>
    </xf>
    <xf numFmtId="4" fontId="0" fillId="0" borderId="1" xfId="0" applyNumberFormat="1" applyBorder="1" applyAlignment="1">
      <alignment horizontal="right"/>
    </xf>
    <xf numFmtId="166" fontId="2" fillId="0" borderId="0" xfId="0" applyNumberFormat="1" applyFont="1" applyAlignment="1">
      <alignment horizontal="right"/>
    </xf>
    <xf numFmtId="164" fontId="2" fillId="0" borderId="0" xfId="0" applyNumberFormat="1" applyFont="1"/>
    <xf numFmtId="165" fontId="1" fillId="0" borderId="1" xfId="0" applyNumberFormat="1" applyFont="1" applyBorder="1"/>
    <xf numFmtId="164" fontId="1" fillId="0" borderId="1" xfId="0" applyNumberFormat="1" applyFont="1" applyBorder="1"/>
    <xf numFmtId="4" fontId="1" fillId="0" borderId="1" xfId="0" applyNumberFormat="1" applyFont="1" applyBorder="1"/>
    <xf numFmtId="16" fontId="0" fillId="0" borderId="0" xfId="0" applyNumberFormat="1"/>
    <xf numFmtId="166" fontId="0" fillId="0" borderId="0" xfId="0" applyNumberFormat="1"/>
    <xf numFmtId="14" fontId="0" fillId="0" borderId="0" xfId="0" applyNumberFormat="1"/>
    <xf numFmtId="0" fontId="1" fillId="0" borderId="2" xfId="0" applyFont="1" applyBorder="1"/>
    <xf numFmtId="166" fontId="1" fillId="0" borderId="2" xfId="0" applyNumberFormat="1" applyFont="1" applyBorder="1"/>
    <xf numFmtId="10" fontId="0" fillId="0" borderId="0" xfId="0" applyNumberFormat="1"/>
    <xf numFmtId="10" fontId="1" fillId="0" borderId="2" xfId="0" applyNumberFormat="1" applyFont="1" applyBorder="1"/>
    <xf numFmtId="10" fontId="1" fillId="0" borderId="1" xfId="0" applyNumberFormat="1" applyFont="1" applyBorder="1"/>
    <xf numFmtId="0" fontId="0" fillId="0" borderId="1" xfId="0" applyBorder="1"/>
    <xf numFmtId="20" fontId="1" fillId="0" borderId="0" xfId="0" applyNumberFormat="1" applyFont="1"/>
    <xf numFmtId="0" fontId="1" fillId="0" borderId="0" xfId="0" applyFont="1"/>
    <xf numFmtId="0" fontId="1" fillId="0" borderId="1" xfId="0" applyFont="1" applyBorder="1" applyAlignment="1">
      <alignment horizontal="right"/>
    </xf>
    <xf numFmtId="0" fontId="0" fillId="0" borderId="1" xfId="0" applyBorder="1" applyAlignment="1">
      <alignment horizontal="right"/>
    </xf>
    <xf numFmtId="167" fontId="0" fillId="0" borderId="1" xfId="1" applyNumberFormat="1" applyFont="1" applyBorder="1" applyAlignment="1">
      <alignment horizontal="right"/>
    </xf>
    <xf numFmtId="20" fontId="0" fillId="0" borderId="1" xfId="0" applyNumberFormat="1" applyBorder="1" applyAlignment="1">
      <alignment horizontal="right"/>
    </xf>
    <xf numFmtId="20" fontId="1" fillId="0" borderId="1" xfId="0" applyNumberFormat="1" applyFont="1" applyBorder="1" applyAlignment="1">
      <alignment horizontal="right"/>
    </xf>
    <xf numFmtId="167" fontId="0" fillId="0" borderId="5" xfId="1" applyNumberFormat="1" applyFont="1" applyFill="1" applyBorder="1" applyAlignment="1">
      <alignment horizontal="right"/>
    </xf>
    <xf numFmtId="0" fontId="1" fillId="0" borderId="1" xfId="0" applyFont="1" applyBorder="1"/>
    <xf numFmtId="20" fontId="1" fillId="0" borderId="1" xfId="0" applyNumberFormat="1" applyFont="1" applyBorder="1"/>
    <xf numFmtId="20" fontId="8" fillId="0" borderId="0" xfId="0" applyNumberFormat="1" applyFont="1" applyAlignment="1">
      <alignment horizontal="right"/>
    </xf>
    <xf numFmtId="20" fontId="7" fillId="0" borderId="0" xfId="0" applyNumberFormat="1" applyFont="1"/>
    <xf numFmtId="0" fontId="7" fillId="0" borderId="0" xfId="0" applyFont="1"/>
    <xf numFmtId="0" fontId="10" fillId="0" borderId="1" xfId="0" applyFont="1" applyBorder="1" applyAlignment="1">
      <alignment horizontal="right"/>
    </xf>
    <xf numFmtId="0" fontId="11" fillId="0" borderId="1" xfId="0" applyFont="1" applyBorder="1" applyAlignment="1">
      <alignment horizontal="right"/>
    </xf>
    <xf numFmtId="167" fontId="11" fillId="0" borderId="1" xfId="1" applyNumberFormat="1" applyFont="1" applyBorder="1" applyAlignment="1">
      <alignment horizontal="right"/>
    </xf>
    <xf numFmtId="20" fontId="11" fillId="0" borderId="1" xfId="0" applyNumberFormat="1" applyFont="1" applyBorder="1" applyAlignment="1">
      <alignment horizontal="right"/>
    </xf>
    <xf numFmtId="20" fontId="10" fillId="0" borderId="1" xfId="0" applyNumberFormat="1" applyFont="1" applyBorder="1"/>
    <xf numFmtId="20" fontId="10" fillId="0" borderId="1" xfId="0" applyNumberFormat="1" applyFont="1" applyBorder="1" applyAlignment="1">
      <alignment horizontal="right"/>
    </xf>
    <xf numFmtId="167" fontId="11" fillId="0" borderId="1" xfId="1" applyNumberFormat="1" applyFont="1" applyBorder="1" applyAlignment="1"/>
    <xf numFmtId="0" fontId="10" fillId="0" borderId="1" xfId="0" applyFont="1" applyBorder="1" applyAlignment="1">
      <alignment horizontal="center" vertical="justify" wrapText="1"/>
    </xf>
    <xf numFmtId="0" fontId="12" fillId="0" borderId="2" xfId="0" applyFont="1" applyBorder="1" applyAlignment="1">
      <alignment horizontal="right"/>
    </xf>
    <xf numFmtId="0" fontId="1" fillId="0" borderId="0" xfId="0" applyFont="1" applyAlignment="1">
      <alignment horizontal="right" vertical="justify" wrapText="1"/>
    </xf>
    <xf numFmtId="167" fontId="11" fillId="0" borderId="6" xfId="1" applyNumberFormat="1" applyFont="1" applyBorder="1" applyAlignment="1">
      <alignment horizontal="right"/>
    </xf>
    <xf numFmtId="167" fontId="11" fillId="0" borderId="4" xfId="1" applyNumberFormat="1" applyFont="1" applyBorder="1" applyAlignment="1">
      <alignment horizontal="right"/>
    </xf>
    <xf numFmtId="167" fontId="14" fillId="0" borderId="1" xfId="1" applyNumberFormat="1" applyFont="1" applyBorder="1" applyAlignment="1">
      <alignment horizontal="right"/>
    </xf>
    <xf numFmtId="20" fontId="14" fillId="0" borderId="1" xfId="0" applyNumberFormat="1" applyFont="1" applyBorder="1" applyAlignment="1">
      <alignment horizontal="right"/>
    </xf>
    <xf numFmtId="0" fontId="14" fillId="0" borderId="0" xfId="0" applyFont="1"/>
    <xf numFmtId="166" fontId="14" fillId="0" borderId="0" xfId="0" applyNumberFormat="1" applyFont="1"/>
    <xf numFmtId="3" fontId="14" fillId="0" borderId="0" xfId="0" applyNumberFormat="1" applyFont="1"/>
    <xf numFmtId="0" fontId="0" fillId="0" borderId="10" xfId="0" applyBorder="1"/>
    <xf numFmtId="0" fontId="0" fillId="0" borderId="11" xfId="0" applyBorder="1"/>
    <xf numFmtId="0" fontId="13" fillId="0" borderId="12" xfId="0" applyFont="1" applyBorder="1" applyAlignment="1">
      <alignment horizontal="right"/>
    </xf>
    <xf numFmtId="0" fontId="14" fillId="0" borderId="12" xfId="0" applyFont="1" applyBorder="1" applyAlignment="1">
      <alignment horizontal="right"/>
    </xf>
    <xf numFmtId="20" fontId="13" fillId="0" borderId="13" xfId="0" applyNumberFormat="1" applyFont="1" applyBorder="1"/>
    <xf numFmtId="20" fontId="13" fillId="0" borderId="16" xfId="0" applyNumberFormat="1" applyFont="1" applyBorder="1"/>
    <xf numFmtId="167" fontId="14" fillId="0" borderId="0" xfId="1" applyNumberFormat="1" applyFont="1" applyFill="1" applyBorder="1" applyAlignment="1"/>
    <xf numFmtId="0" fontId="10" fillId="0" borderId="5" xfId="0" applyFont="1" applyBorder="1" applyAlignment="1">
      <alignment horizontal="center" vertical="justify" wrapText="1"/>
    </xf>
    <xf numFmtId="0" fontId="1" fillId="0" borderId="0" xfId="0" applyFont="1" applyAlignment="1">
      <alignment horizontal="left" vertical="justify" wrapText="1"/>
    </xf>
    <xf numFmtId="0" fontId="13" fillId="0" borderId="1" xfId="0" applyFont="1" applyBorder="1"/>
    <xf numFmtId="0" fontId="13" fillId="0" borderId="0" xfId="0" applyFont="1" applyAlignment="1">
      <alignment horizontal="right"/>
    </xf>
    <xf numFmtId="0" fontId="13" fillId="0" borderId="0" xfId="0" applyFont="1"/>
    <xf numFmtId="0" fontId="14" fillId="0" borderId="0" xfId="0" applyFont="1" applyAlignment="1">
      <alignment horizontal="right"/>
    </xf>
    <xf numFmtId="167" fontId="14" fillId="0" borderId="0" xfId="1" applyNumberFormat="1" applyFont="1" applyBorder="1" applyAlignment="1">
      <alignment horizontal="right"/>
    </xf>
    <xf numFmtId="20" fontId="14" fillId="0" borderId="0" xfId="0" applyNumberFormat="1" applyFont="1" applyAlignment="1">
      <alignment horizontal="right"/>
    </xf>
    <xf numFmtId="20" fontId="13" fillId="0" borderId="0" xfId="0" applyNumberFormat="1" applyFont="1"/>
    <xf numFmtId="0" fontId="15" fillId="0" borderId="0" xfId="0" applyFont="1"/>
    <xf numFmtId="0" fontId="13" fillId="0" borderId="0" xfId="0" applyFont="1" applyAlignment="1">
      <alignment horizontal="center"/>
    </xf>
    <xf numFmtId="0" fontId="15" fillId="0" borderId="0" xfId="0" applyFont="1" applyAlignment="1">
      <alignment horizontal="center"/>
    </xf>
    <xf numFmtId="166" fontId="15" fillId="0" borderId="0" xfId="0" applyNumberFormat="1" applyFont="1"/>
    <xf numFmtId="0" fontId="14" fillId="0" borderId="1" xfId="0" applyFont="1" applyBorder="1"/>
    <xf numFmtId="0" fontId="11" fillId="0" borderId="0" xfId="0" applyFont="1"/>
    <xf numFmtId="0" fontId="0" fillId="2" borderId="0" xfId="0" applyFill="1"/>
    <xf numFmtId="0" fontId="17" fillId="2" borderId="0" xfId="0" applyFont="1" applyFill="1"/>
    <xf numFmtId="0" fontId="0" fillId="2" borderId="0" xfId="0" applyFill="1" applyAlignment="1">
      <alignment horizontal="left"/>
    </xf>
    <xf numFmtId="0" fontId="8" fillId="2" borderId="1" xfId="0" applyFont="1" applyFill="1" applyBorder="1"/>
    <xf numFmtId="0" fontId="8" fillId="2" borderId="1" xfId="0" applyFont="1" applyFill="1" applyBorder="1" applyAlignment="1">
      <alignment horizontal="left"/>
    </xf>
    <xf numFmtId="1" fontId="8" fillId="2" borderId="1" xfId="0" applyNumberFormat="1" applyFont="1" applyFill="1" applyBorder="1"/>
    <xf numFmtId="0" fontId="0" fillId="0" borderId="1" xfId="0" pivotButton="1" applyBorder="1"/>
    <xf numFmtId="0" fontId="0" fillId="0" borderId="1" xfId="0" applyBorder="1" applyAlignment="1">
      <alignment horizontal="left"/>
    </xf>
    <xf numFmtId="166" fontId="0" fillId="0" borderId="1" xfId="0" applyNumberFormat="1" applyBorder="1"/>
    <xf numFmtId="0" fontId="0" fillId="0" borderId="0" xfId="0" pivotButton="1"/>
    <xf numFmtId="0" fontId="14" fillId="0" borderId="1" xfId="0" applyFont="1" applyBorder="1" applyAlignment="1">
      <alignment horizontal="center"/>
    </xf>
    <xf numFmtId="0" fontId="13" fillId="0" borderId="3" xfId="0" applyFont="1" applyBorder="1" applyAlignment="1">
      <alignment horizontal="right"/>
    </xf>
    <xf numFmtId="0" fontId="13" fillId="0" borderId="4" xfId="0" applyFont="1" applyBorder="1" applyAlignment="1">
      <alignment horizontal="right"/>
    </xf>
    <xf numFmtId="167" fontId="10" fillId="0" borderId="1" xfId="1" applyNumberFormat="1" applyFont="1" applyBorder="1" applyAlignment="1">
      <alignment horizontal="center"/>
    </xf>
    <xf numFmtId="0" fontId="10" fillId="0" borderId="3" xfId="0" applyFont="1" applyBorder="1" applyAlignment="1">
      <alignment horizontal="center"/>
    </xf>
    <xf numFmtId="0" fontId="10" fillId="0" borderId="6" xfId="0" applyFont="1" applyBorder="1" applyAlignment="1">
      <alignment horizontal="center"/>
    </xf>
    <xf numFmtId="0" fontId="10" fillId="0" borderId="4" xfId="0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167" fontId="1" fillId="0" borderId="1" xfId="1" applyNumberFormat="1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167" fontId="1" fillId="0" borderId="3" xfId="1" applyNumberFormat="1" applyFont="1" applyBorder="1" applyAlignment="1">
      <alignment horizontal="center"/>
    </xf>
    <xf numFmtId="167" fontId="1" fillId="0" borderId="4" xfId="1" applyNumberFormat="1" applyFont="1" applyBorder="1" applyAlignment="1">
      <alignment horizontal="center"/>
    </xf>
    <xf numFmtId="0" fontId="16" fillId="0" borderId="0" xfId="0" applyFont="1" applyAlignment="1">
      <alignment horizontal="center"/>
    </xf>
    <xf numFmtId="0" fontId="14" fillId="0" borderId="0" xfId="0" applyFont="1" applyAlignment="1">
      <alignment horizontal="center"/>
    </xf>
    <xf numFmtId="0" fontId="14" fillId="0" borderId="0" xfId="0" applyFont="1" applyAlignment="1">
      <alignment horizontal="left"/>
    </xf>
    <xf numFmtId="0" fontId="15" fillId="0" borderId="7" xfId="0" applyFont="1" applyBorder="1" applyAlignment="1">
      <alignment horizontal="center"/>
    </xf>
    <xf numFmtId="0" fontId="15" fillId="0" borderId="8" xfId="0" applyFont="1" applyBorder="1" applyAlignment="1">
      <alignment horizontal="center"/>
    </xf>
    <xf numFmtId="0" fontId="15" fillId="0" borderId="9" xfId="0" applyFont="1" applyBorder="1" applyAlignment="1">
      <alignment horizontal="center"/>
    </xf>
    <xf numFmtId="167" fontId="13" fillId="0" borderId="1" xfId="1" applyNumberFormat="1" applyFont="1" applyBorder="1" applyAlignment="1">
      <alignment horizontal="center"/>
    </xf>
    <xf numFmtId="0" fontId="13" fillId="0" borderId="14" xfId="0" applyFont="1" applyBorder="1" applyAlignment="1">
      <alignment horizontal="center"/>
    </xf>
    <xf numFmtId="0" fontId="13" fillId="0" borderId="15" xfId="0" applyFont="1" applyBorder="1" applyAlignment="1">
      <alignment horizontal="center"/>
    </xf>
    <xf numFmtId="167" fontId="10" fillId="0" borderId="3" xfId="1" applyNumberFormat="1" applyFont="1" applyBorder="1" applyAlignment="1">
      <alignment horizontal="center"/>
    </xf>
    <xf numFmtId="167" fontId="10" fillId="0" borderId="6" xfId="1" applyNumberFormat="1" applyFont="1" applyBorder="1" applyAlignment="1">
      <alignment horizontal="center"/>
    </xf>
    <xf numFmtId="167" fontId="10" fillId="0" borderId="4" xfId="1" applyNumberFormat="1" applyFont="1" applyBorder="1" applyAlignment="1">
      <alignment horizontal="center"/>
    </xf>
    <xf numFmtId="0" fontId="14" fillId="0" borderId="0" xfId="0" applyFont="1" applyAlignment="1"/>
    <xf numFmtId="167" fontId="14" fillId="0" borderId="0" xfId="1" applyNumberFormat="1" applyFont="1" applyFill="1" applyBorder="1" applyAlignment="1">
      <alignment horizontal="left"/>
    </xf>
    <xf numFmtId="0" fontId="13" fillId="0" borderId="17" xfId="0" applyFont="1" applyBorder="1" applyAlignment="1">
      <alignment horizontal="right"/>
    </xf>
    <xf numFmtId="0" fontId="13" fillId="0" borderId="18" xfId="0" applyFont="1" applyBorder="1" applyAlignment="1">
      <alignment horizontal="right"/>
    </xf>
    <xf numFmtId="0" fontId="13" fillId="0" borderId="19" xfId="0" applyFont="1" applyBorder="1"/>
  </cellXfs>
  <cellStyles count="2">
    <cellStyle name="Comma" xfId="1" builtinId="3"/>
    <cellStyle name="Normal" xfId="0" builtinId="0"/>
  </cellStyles>
  <dxfs count="128"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6" formatCode="&quot;€&quot;#,##0.00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166" formatCode="&quot;€&quot;#,##0.00"/>
    </dxf>
    <dxf>
      <numFmt numFmtId="166" formatCode="&quot;€&quot;#,##0.00"/>
    </dxf>
    <dxf>
      <numFmt numFmtId="166" formatCode="&quot;€&quot;#,##0.00"/>
    </dxf>
    <dxf>
      <numFmt numFmtId="166" formatCode="&quot;€&quot;#,##0.00"/>
    </dxf>
    <dxf>
      <numFmt numFmtId="166" formatCode="&quot;€&quot;#,##0.00"/>
    </dxf>
    <dxf>
      <numFmt numFmtId="166" formatCode="&quot;€&quot;#,##0.00"/>
    </dxf>
    <dxf>
      <numFmt numFmtId="166" formatCode="&quot;€&quot;#,##0.00"/>
    </dxf>
    <dxf>
      <numFmt numFmtId="166" formatCode="&quot;€&quot;#,##0.00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6" formatCode="&quot;€&quot;#,##0.00"/>
    </dxf>
    <dxf>
      <font>
        <sz val="20"/>
      </font>
    </dxf>
    <dxf>
      <font>
        <sz val="20"/>
      </font>
    </dxf>
    <dxf>
      <font>
        <sz val="20"/>
      </font>
    </dxf>
    <dxf>
      <font>
        <sz val="20"/>
      </font>
    </dxf>
    <dxf>
      <font>
        <sz val="20"/>
      </font>
    </dxf>
    <dxf>
      <font>
        <sz val="20"/>
      </font>
    </dxf>
    <dxf>
      <numFmt numFmtId="1" formatCode="0"/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numFmt numFmtId="0" formatCode="General"/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numFmt numFmtId="0" formatCode="General"/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border outline="0">
        <bottom style="thin">
          <color indexed="64"/>
        </bottom>
      </border>
    </dxf>
    <dxf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justify" textRotation="0" wrapText="1" indent="0" justifyLastLine="0" shrinkToFit="0" readingOrder="0"/>
    </dxf>
    <dxf>
      <numFmt numFmtId="0" formatCode="General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numFmt numFmtId="0" formatCode="General"/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numFmt numFmtId="0" formatCode="General"/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border outline="0">
        <bottom style="thin">
          <color indexed="64"/>
        </bottom>
      </border>
    </dxf>
    <dxf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justify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166" formatCode="&quot;€&quot;#,##0.00"/>
    </dxf>
    <dxf>
      <numFmt numFmtId="166" formatCode="&quot;€&quot;#,##0.00"/>
    </dxf>
    <dxf>
      <numFmt numFmtId="166" formatCode="&quot;€&quot;#,##0.00"/>
    </dxf>
    <dxf>
      <numFmt numFmtId="166" formatCode="&quot;€&quot;#,##0.00"/>
    </dxf>
    <dxf>
      <numFmt numFmtId="166" formatCode="&quot;€&quot;#,##0.00"/>
    </dxf>
    <dxf>
      <numFmt numFmtId="166" formatCode="&quot;€&quot;#,##0.00"/>
    </dxf>
    <dxf>
      <numFmt numFmtId="166" formatCode="&quot;€&quot;#,##0.00"/>
    </dxf>
    <dxf>
      <numFmt numFmtId="166" formatCode="&quot;€&quot;#,##0.00"/>
    </dxf>
    <dxf>
      <numFmt numFmtId="166" formatCode="&quot;€&quot;#,##0.00"/>
    </dxf>
    <dxf>
      <numFmt numFmtId="166" formatCode="&quot;€&quot;#,##0.00"/>
    </dxf>
    <dxf>
      <numFmt numFmtId="166" formatCode="&quot;€&quot;#,##0.00"/>
    </dxf>
    <dxf>
      <numFmt numFmtId="166" formatCode="&quot;€&quot;#,##0.00"/>
    </dxf>
    <dxf>
      <numFmt numFmtId="166" formatCode="&quot;€&quot;#,##0.00"/>
    </dxf>
    <dxf>
      <numFmt numFmtId="166" formatCode="&quot;€&quot;#,##0.00"/>
    </dxf>
    <dxf>
      <numFmt numFmtId="166" formatCode="&quot;€&quot;#,##0.00"/>
    </dxf>
    <dxf>
      <numFmt numFmtId="166" formatCode="&quot;€&quot;#,##0.00"/>
    </dxf>
    <dxf>
      <numFmt numFmtId="166" formatCode="&quot;€&quot;#,##0.00"/>
    </dxf>
    <dxf>
      <numFmt numFmtId="166" formatCode="&quot;€&quot;#,##0.00"/>
    </dxf>
    <dxf>
      <numFmt numFmtId="166" formatCode="&quot;€&quot;#,##0.00"/>
    </dxf>
    <dxf>
      <numFmt numFmtId="166" formatCode="&quot;€&quot;#,##0.00"/>
    </dxf>
    <dxf>
      <numFmt numFmtId="164" formatCode="[$$-409]#,##0.00"/>
    </dxf>
    <dxf>
      <numFmt numFmtId="164" formatCode="[$$-409]#,##0.00"/>
    </dxf>
    <dxf>
      <numFmt numFmtId="164" formatCode="[$$-409]#,##0.00"/>
    </dxf>
    <dxf>
      <alignment horizontal="right" vertical="bottom" textRotation="0" wrapText="0" indent="0" justifyLastLine="0" shrinkToFit="0" readingOrder="0"/>
    </dxf>
    <dxf>
      <numFmt numFmtId="164" formatCode="[$$-409]#,##0.00"/>
      <alignment horizontal="right" vertical="bottom" textRotation="0" wrapText="0" indent="0" justifyLastLine="0" shrinkToFit="0" readingOrder="0"/>
    </dxf>
    <dxf>
      <numFmt numFmtId="31" formatCode="[h]:mm:ss"/>
    </dxf>
    <dxf>
      <numFmt numFmtId="31" formatCode="[h]:mm:ss"/>
    </dxf>
    <dxf>
      <numFmt numFmtId="31" formatCode="[h]:mm:ss"/>
    </dxf>
    <dxf>
      <numFmt numFmtId="31" formatCode="[h]:mm:ss"/>
    </dxf>
    <dxf>
      <numFmt numFmtId="164" formatCode="[$$-409]#,##0.00"/>
    </dxf>
    <dxf>
      <numFmt numFmtId="164" formatCode="[$$-409]#,##0.00"/>
    </dxf>
    <dxf>
      <numFmt numFmtId="164" formatCode="[$$-409]#,##0.00"/>
    </dxf>
    <dxf>
      <numFmt numFmtId="164" formatCode="[$$-409]#,##0.00"/>
    </dxf>
    <dxf>
      <numFmt numFmtId="164" formatCode="[$$-409]#,##0.00"/>
    </dxf>
    <dxf>
      <numFmt numFmtId="165" formatCode="[$-1809]dd\ mmmm\ yyyy;@"/>
    </dxf>
    <dxf>
      <alignment horizontal="center" vertical="bottom" textRotation="0" wrapText="0" indent="0" justifyLastLine="0" shrinkToFit="0" readingOrder="0"/>
    </dxf>
    <dxf>
      <numFmt numFmtId="166" formatCode="&quot;€&quot;#,##0.00"/>
      <alignment horizontal="right" vertical="bottom" textRotation="0" wrapText="0" indent="0" justifyLastLine="0" shrinkToFit="0" readingOrder="0"/>
    </dxf>
    <dxf>
      <numFmt numFmtId="166" formatCode="&quot;€&quot;#,##0.00"/>
      <alignment horizontal="right" vertical="bottom" textRotation="0" wrapText="0" indent="0" justifyLastLine="0" shrinkToFit="0" readingOrder="0"/>
    </dxf>
    <dxf>
      <numFmt numFmtId="166" formatCode="&quot;€&quot;#,##0.00"/>
      <alignment horizontal="right" vertical="bottom" textRotation="0" wrapText="0" indent="0" justifyLastLine="0" shrinkToFit="0" readingOrder="0"/>
    </dxf>
    <dxf>
      <numFmt numFmtId="166" formatCode="&quot;€&quot;#,##0.00"/>
      <alignment horizontal="right" vertical="bottom" textRotation="0" wrapText="0" indent="0" justifyLastLine="0" shrinkToFit="0" readingOrder="0"/>
    </dxf>
    <dxf>
      <numFmt numFmtId="166" formatCode="&quot;€&quot;#,##0.00"/>
      <alignment horizontal="right" vertical="bottom" textRotation="0" wrapText="0" indent="0" justifyLastLine="0" shrinkToFit="0" readingOrder="0"/>
    </dxf>
    <dxf>
      <numFmt numFmtId="166" formatCode="&quot;€&quot;#,##0.00"/>
      <alignment horizontal="righ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165" formatCode="[$-1809]dd\ mmmm\ yyyy;@"/>
      <alignment horizontal="left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2.xml"/><Relationship Id="rId18" Type="http://schemas.openxmlformats.org/officeDocument/2006/relationships/styles" Target="styles.xml"/><Relationship Id="rId26" Type="http://schemas.openxmlformats.org/officeDocument/2006/relationships/customXml" Target="../customXml/item5.xml"/><Relationship Id="rId39" Type="http://schemas.openxmlformats.org/officeDocument/2006/relationships/customXml" Target="../customXml/item18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34" Type="http://schemas.openxmlformats.org/officeDocument/2006/relationships/customXml" Target="../customXml/item13.xml"/><Relationship Id="rId42" Type="http://schemas.openxmlformats.org/officeDocument/2006/relationships/customXml" Target="../customXml/item21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1.xml"/><Relationship Id="rId17" Type="http://schemas.openxmlformats.org/officeDocument/2006/relationships/connections" Target="connections.xml"/><Relationship Id="rId25" Type="http://schemas.openxmlformats.org/officeDocument/2006/relationships/customXml" Target="../customXml/item4.xml"/><Relationship Id="rId33" Type="http://schemas.openxmlformats.org/officeDocument/2006/relationships/customXml" Target="../customXml/item12.xml"/><Relationship Id="rId38" Type="http://schemas.openxmlformats.org/officeDocument/2006/relationships/customXml" Target="../customXml/item17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openxmlformats.org/officeDocument/2006/relationships/powerPivotData" Target="model/item.data"/><Relationship Id="rId29" Type="http://schemas.openxmlformats.org/officeDocument/2006/relationships/customXml" Target="../customXml/item8.xml"/><Relationship Id="rId41" Type="http://schemas.openxmlformats.org/officeDocument/2006/relationships/customXml" Target="../customXml/item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3.xml"/><Relationship Id="rId32" Type="http://schemas.openxmlformats.org/officeDocument/2006/relationships/customXml" Target="../customXml/item11.xml"/><Relationship Id="rId37" Type="http://schemas.openxmlformats.org/officeDocument/2006/relationships/customXml" Target="../customXml/item16.xml"/><Relationship Id="rId40" Type="http://schemas.openxmlformats.org/officeDocument/2006/relationships/customXml" Target="../customXml/item19.xml"/><Relationship Id="rId5" Type="http://schemas.openxmlformats.org/officeDocument/2006/relationships/worksheet" Target="worksheets/sheet5.xml"/><Relationship Id="rId15" Type="http://schemas.openxmlformats.org/officeDocument/2006/relationships/pivotCacheDefinition" Target="pivotCache/pivotCacheDefinition4.xml"/><Relationship Id="rId23" Type="http://schemas.openxmlformats.org/officeDocument/2006/relationships/customXml" Target="../customXml/item2.xml"/><Relationship Id="rId28" Type="http://schemas.openxmlformats.org/officeDocument/2006/relationships/customXml" Target="../customXml/item7.xml"/><Relationship Id="rId36" Type="http://schemas.openxmlformats.org/officeDocument/2006/relationships/customXml" Target="../customXml/item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31" Type="http://schemas.openxmlformats.org/officeDocument/2006/relationships/customXml" Target="../customXml/item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3.xml"/><Relationship Id="rId22" Type="http://schemas.openxmlformats.org/officeDocument/2006/relationships/customXml" Target="../customXml/item1.xml"/><Relationship Id="rId27" Type="http://schemas.openxmlformats.org/officeDocument/2006/relationships/customXml" Target="../customXml/item6.xml"/><Relationship Id="rId30" Type="http://schemas.openxmlformats.org/officeDocument/2006/relationships/customXml" Target="../customXml/item9.xml"/><Relationship Id="rId35" Type="http://schemas.openxmlformats.org/officeDocument/2006/relationships/customXml" Target="../customXml/item1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[Poker League.xlsm]League Points Pivot!PivotTable1</c:name>
    <c:fmtId val="7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League Points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standard"/>
        <c:varyColors val="0"/>
        <c:ser>
          <c:idx val="0"/>
          <c:order val="0"/>
          <c:tx>
            <c:strRef>
              <c:f>'League Points Pivot'!$B$1</c:f>
              <c:strCache>
                <c:ptCount val="1"/>
                <c:pt idx="0">
                  <c:v>Total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'League Points Pivot'!$A$2:$A$12</c:f>
              <c:strCache>
                <c:ptCount val="10"/>
                <c:pt idx="0">
                  <c:v>Kevin Lee</c:v>
                </c:pt>
                <c:pt idx="1">
                  <c:v>Martin Hunter</c:v>
                </c:pt>
                <c:pt idx="2">
                  <c:v>Brendan Stevenson</c:v>
                </c:pt>
                <c:pt idx="3">
                  <c:v>Morgan Mooney</c:v>
                </c:pt>
                <c:pt idx="4">
                  <c:v>Barry Hunter</c:v>
                </c:pt>
                <c:pt idx="5">
                  <c:v>Ciaran Lynch</c:v>
                </c:pt>
                <c:pt idx="6">
                  <c:v>Seamus Diver</c:v>
                </c:pt>
                <c:pt idx="7">
                  <c:v>Mark Hunter</c:v>
                </c:pt>
                <c:pt idx="8">
                  <c:v>Steven Black</c:v>
                </c:pt>
                <c:pt idx="9">
                  <c:v>Ryan **</c:v>
                </c:pt>
              </c:strCache>
            </c:strRef>
          </c:cat>
          <c:val>
            <c:numRef>
              <c:f>'League Points Pivot'!$B$2:$B$12</c:f>
              <c:numCache>
                <c:formatCode>0</c:formatCode>
                <c:ptCount val="10"/>
                <c:pt idx="0">
                  <c:v>19250</c:v>
                </c:pt>
                <c:pt idx="1">
                  <c:v>17750</c:v>
                </c:pt>
                <c:pt idx="2">
                  <c:v>11750</c:v>
                </c:pt>
                <c:pt idx="3">
                  <c:v>11500</c:v>
                </c:pt>
                <c:pt idx="4">
                  <c:v>10750</c:v>
                </c:pt>
                <c:pt idx="5">
                  <c:v>8000</c:v>
                </c:pt>
                <c:pt idx="6">
                  <c:v>7500</c:v>
                </c:pt>
                <c:pt idx="7">
                  <c:v>5250</c:v>
                </c:pt>
                <c:pt idx="8">
                  <c:v>4500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580-41C0-81AB-6B8DFDC115BD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shape val="box"/>
        <c:axId val="688413136"/>
        <c:axId val="688416736"/>
        <c:axId val="264567103"/>
      </c:bar3DChart>
      <c:catAx>
        <c:axId val="6884131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8416736"/>
        <c:crosses val="autoZero"/>
        <c:auto val="1"/>
        <c:lblAlgn val="ctr"/>
        <c:lblOffset val="100"/>
        <c:noMultiLvlLbl val="0"/>
      </c:catAx>
      <c:valAx>
        <c:axId val="688416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50000"/>
                  <a:lumOff val="50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8413136"/>
        <c:crosses val="autoZero"/>
        <c:crossBetween val="between"/>
      </c:valAx>
      <c:serAx>
        <c:axId val="264567103"/>
        <c:scaling>
          <c:orientation val="minMax"/>
        </c:scaling>
        <c:delete val="1"/>
        <c:axPos val="b"/>
        <c:majorTickMark val="none"/>
        <c:minorTickMark val="none"/>
        <c:tickLblPos val="nextTo"/>
        <c:crossAx val="688416736"/>
        <c:crosses val="autoZero"/>
      </c:ser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[Poker League.xlsm]ROI Pivot!PivotTable1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cap="all" spc="5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2025 Total Return On Investment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cap="all" spc="5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gradFill flip="none" rotWithShape="1">
            <a:gsLst>
              <a:gs pos="0">
                <a:schemeClr val="accent1"/>
              </a:gs>
              <a:gs pos="75000">
                <a:schemeClr val="accent1">
                  <a:lumMod val="60000"/>
                  <a:lumOff val="40000"/>
                </a:schemeClr>
              </a:gs>
              <a:gs pos="51000">
                <a:schemeClr val="accent1">
                  <a:alpha val="75000"/>
                </a:schemeClr>
              </a:gs>
              <a:gs pos="100000">
                <a:schemeClr val="accent1">
                  <a:lumMod val="20000"/>
                  <a:lumOff val="80000"/>
                  <a:alpha val="15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'ROI Pivot'!$B$1</c:f>
              <c:strCache>
                <c:ptCount val="1"/>
                <c:pt idx="0">
                  <c:v>Total</c:v>
                </c:pt>
              </c:strCache>
            </c:strRef>
          </c:tx>
          <c:spPr>
            <a:gradFill flip="none" rotWithShape="1">
              <a:gsLst>
                <a:gs pos="0">
                  <a:schemeClr val="accent1"/>
                </a:gs>
                <a:gs pos="75000">
                  <a:schemeClr val="accent1">
                    <a:lumMod val="60000"/>
                    <a:lumOff val="40000"/>
                  </a:schemeClr>
                </a:gs>
                <a:gs pos="51000">
                  <a:schemeClr val="accent1">
                    <a:alpha val="75000"/>
                  </a:schemeClr>
                </a:gs>
                <a:gs pos="100000">
                  <a:schemeClr val="accent1">
                    <a:lumMod val="20000"/>
                    <a:lumOff val="80000"/>
                    <a:alpha val="15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'ROI Pivot'!$A$2:$A$12</c:f>
              <c:strCache>
                <c:ptCount val="10"/>
                <c:pt idx="0">
                  <c:v>Martin Hunter</c:v>
                </c:pt>
                <c:pt idx="1">
                  <c:v>Ciaran Lynch</c:v>
                </c:pt>
                <c:pt idx="2">
                  <c:v>Kevin Lee</c:v>
                </c:pt>
                <c:pt idx="3">
                  <c:v>Brendan Stevenson</c:v>
                </c:pt>
                <c:pt idx="4">
                  <c:v>Seamus Diver</c:v>
                </c:pt>
                <c:pt idx="5">
                  <c:v>Ryan **</c:v>
                </c:pt>
                <c:pt idx="6">
                  <c:v>Mark Hunter</c:v>
                </c:pt>
                <c:pt idx="7">
                  <c:v>Barry Hunter</c:v>
                </c:pt>
                <c:pt idx="8">
                  <c:v>Steven Black</c:v>
                </c:pt>
                <c:pt idx="9">
                  <c:v>Morgan Mooney</c:v>
                </c:pt>
              </c:strCache>
            </c:strRef>
          </c:cat>
          <c:val>
            <c:numRef>
              <c:f>'ROI Pivot'!$B$2:$B$12</c:f>
              <c:numCache>
                <c:formatCode>"€"#,##0.00</c:formatCode>
                <c:ptCount val="10"/>
                <c:pt idx="0">
                  <c:v>125</c:v>
                </c:pt>
                <c:pt idx="1">
                  <c:v>100</c:v>
                </c:pt>
                <c:pt idx="2">
                  <c:v>75</c:v>
                </c:pt>
                <c:pt idx="3">
                  <c:v>25</c:v>
                </c:pt>
                <c:pt idx="4">
                  <c:v>-10</c:v>
                </c:pt>
                <c:pt idx="5">
                  <c:v>-30</c:v>
                </c:pt>
                <c:pt idx="6">
                  <c:v>-45</c:v>
                </c:pt>
                <c:pt idx="7">
                  <c:v>-75</c:v>
                </c:pt>
                <c:pt idx="8">
                  <c:v>-100</c:v>
                </c:pt>
                <c:pt idx="9">
                  <c:v>-120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30B-4A19-BC29-4489B1B358C8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355"/>
        <c:overlap val="-70"/>
        <c:axId val="1308352232"/>
        <c:axId val="1308354032"/>
      </c:barChart>
      <c:catAx>
        <c:axId val="13083522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08354032"/>
        <c:crosses val="autoZero"/>
        <c:auto val="1"/>
        <c:lblAlgn val="ctr"/>
        <c:lblOffset val="100"/>
        <c:noMultiLvlLbl val="0"/>
      </c:catAx>
      <c:valAx>
        <c:axId val="1308354032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tx1">
                      <a:lumMod val="5000"/>
                      <a:lumOff val="95000"/>
                    </a:schemeClr>
                  </a:gs>
                  <a:gs pos="0">
                    <a:schemeClr val="tx1">
                      <a:lumMod val="25000"/>
                      <a:lumOff val="7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&quot;€&quot;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083522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[Poker League.xlsm]Hosts!PivotTable2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500" b="1" i="0" u="none" strike="noStrike" kern="1200" cap="all" spc="100" normalizeH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Tournament Hosts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00" b="1" i="0" u="none" strike="noStrike" kern="1200" cap="all" spc="100" normalizeH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pattFill prst="ltUpDiag">
            <a:fgClr>
              <a:schemeClr val="accent1"/>
            </a:fgClr>
            <a:bgClr>
              <a:schemeClr val="lt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solidFill>
              <a:srgbClr val="4472C4">
                <a:alpha val="70000"/>
              </a:srgbClr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Hosts!$J$3</c:f>
              <c:strCache>
                <c:ptCount val="1"/>
                <c:pt idx="0">
                  <c:v>Total</c:v>
                </c:pt>
              </c:strCache>
            </c:strRef>
          </c:tx>
          <c:spPr>
            <a:pattFill prst="ltUpDiag">
              <a:fgClr>
                <a:schemeClr val="accent1"/>
              </a:fgClr>
              <a:bgClr>
                <a:schemeClr val="lt1"/>
              </a:bgClr>
            </a:pattFill>
            <a:ln>
              <a:noFill/>
            </a:ln>
            <a:effectLst/>
          </c:spPr>
          <c:invertIfNegative val="0"/>
          <c:dLbls>
            <c:spPr>
              <a:solidFill>
                <a:srgbClr val="4472C4">
                  <a:alpha val="70000"/>
                </a:srgb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accent1">
                          <a:lumMod val="60000"/>
                          <a:lumOff val="4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Hosts!$I$4:$I$8</c:f>
              <c:strCache>
                <c:ptCount val="4"/>
                <c:pt idx="0">
                  <c:v>Kevin Lee</c:v>
                </c:pt>
                <c:pt idx="1">
                  <c:v>Morgan Mooney</c:v>
                </c:pt>
                <c:pt idx="2">
                  <c:v>Martin Hunter</c:v>
                </c:pt>
                <c:pt idx="3">
                  <c:v>Seamus Diver</c:v>
                </c:pt>
              </c:strCache>
            </c:strRef>
          </c:cat>
          <c:val>
            <c:numRef>
              <c:f>Hosts!$J$4:$J$8</c:f>
              <c:numCache>
                <c:formatCode>General</c:formatCode>
                <c:ptCount val="4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AF1-4FCB-99A6-FCCA92F94C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69"/>
        <c:overlap val="-20"/>
        <c:axId val="1156384816"/>
        <c:axId val="1156387696"/>
      </c:barChart>
      <c:catAx>
        <c:axId val="11563848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lt1">
                  <a:alpha val="2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3175" cap="flat" cmpd="sng" algn="ctr">
            <a:solidFill>
              <a:schemeClr val="accent1">
                <a:lumMod val="60000"/>
                <a:lumOff val="4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cap="all" spc="150" normalizeH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6387696"/>
        <c:crosses val="autoZero"/>
        <c:auto val="1"/>
        <c:lblAlgn val="ctr"/>
        <c:lblOffset val="100"/>
        <c:noMultiLvlLbl val="0"/>
      </c:catAx>
      <c:valAx>
        <c:axId val="115638769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63848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accent1"/>
    </a:solidFill>
    <a:ln w="9525" cap="flat" cmpd="sng" algn="ctr">
      <a:solidFill>
        <a:schemeClr val="accent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[Poker League.xlsm]Total Spend!PivotTable2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cap="all" spc="15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Total Spend to Date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cap="all" spc="15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pattFill prst="narHorz">
            <a:fgClr>
              <a:schemeClr val="accent1"/>
            </a:fgClr>
            <a:bgClr>
              <a:schemeClr val="accent1">
                <a:lumMod val="20000"/>
                <a:lumOff val="80000"/>
              </a:schemeClr>
            </a:bgClr>
          </a:pattFill>
          <a:ln>
            <a:noFill/>
          </a:ln>
          <a:effectLst>
            <a:innerShdw blurRad="114300">
              <a:schemeClr val="accent1"/>
            </a:inn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'Total Spend'!$B$1</c:f>
              <c:strCache>
                <c:ptCount val="1"/>
                <c:pt idx="0">
                  <c:v>Total</c:v>
                </c:pt>
              </c:strCache>
            </c:strRef>
          </c:tx>
          <c:spPr>
            <a:pattFill prst="narHorz">
              <a:fgClr>
                <a:schemeClr val="accent1"/>
              </a:fgClr>
              <a:bgClr>
                <a:schemeClr val="accent1">
                  <a:lumMod val="20000"/>
                  <a:lumOff val="80000"/>
                </a:schemeClr>
              </a:bgClr>
            </a:pattFill>
            <a:ln>
              <a:noFill/>
            </a:ln>
            <a:effectLst>
              <a:innerShdw blurRad="114300">
                <a:schemeClr val="accent1"/>
              </a:inn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'Total Spend'!$A$2:$A$12</c:f>
              <c:strCache>
                <c:ptCount val="10"/>
                <c:pt idx="0">
                  <c:v>Morgan Mooney</c:v>
                </c:pt>
                <c:pt idx="1">
                  <c:v>Kevin Lee</c:v>
                </c:pt>
                <c:pt idx="2">
                  <c:v>Barry Hunter</c:v>
                </c:pt>
                <c:pt idx="3">
                  <c:v>Martin Hunter</c:v>
                </c:pt>
                <c:pt idx="4">
                  <c:v>Brendan Stevenson</c:v>
                </c:pt>
                <c:pt idx="5">
                  <c:v>Steven Black</c:v>
                </c:pt>
                <c:pt idx="6">
                  <c:v>Seamus Diver</c:v>
                </c:pt>
                <c:pt idx="7">
                  <c:v>Mark Hunter</c:v>
                </c:pt>
                <c:pt idx="8">
                  <c:v>Ciaran Lynch</c:v>
                </c:pt>
                <c:pt idx="9">
                  <c:v>Ryan **</c:v>
                </c:pt>
              </c:strCache>
            </c:strRef>
          </c:cat>
          <c:val>
            <c:numRef>
              <c:f>'Total Spend'!$B$2:$B$12</c:f>
              <c:numCache>
                <c:formatCode>"€"#,##0.00</c:formatCode>
                <c:ptCount val="10"/>
                <c:pt idx="0">
                  <c:v>350</c:v>
                </c:pt>
                <c:pt idx="1">
                  <c:v>310</c:v>
                </c:pt>
                <c:pt idx="2">
                  <c:v>290</c:v>
                </c:pt>
                <c:pt idx="3">
                  <c:v>230</c:v>
                </c:pt>
                <c:pt idx="4">
                  <c:v>210</c:v>
                </c:pt>
                <c:pt idx="5">
                  <c:v>190</c:v>
                </c:pt>
                <c:pt idx="6">
                  <c:v>160</c:v>
                </c:pt>
                <c:pt idx="7">
                  <c:v>150</c:v>
                </c:pt>
                <c:pt idx="8">
                  <c:v>60</c:v>
                </c:pt>
                <c:pt idx="9">
                  <c:v>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88C-4114-8E1E-6014D6D955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64"/>
        <c:overlap val="-22"/>
        <c:axId val="736367384"/>
        <c:axId val="736368104"/>
      </c:barChart>
      <c:catAx>
        <c:axId val="7363673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6368104"/>
        <c:crosses val="autoZero"/>
        <c:auto val="1"/>
        <c:lblAlgn val="ctr"/>
        <c:lblOffset val="100"/>
        <c:noMultiLvlLbl val="0"/>
      </c:catAx>
      <c:valAx>
        <c:axId val="736368104"/>
        <c:scaling>
          <c:orientation val="minMax"/>
        </c:scaling>
        <c:delete val="0"/>
        <c:axPos val="l"/>
        <c:numFmt formatCode="&quot;€&quot;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63673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/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dk1">
            <a:lumMod val="60000"/>
            <a:lumOff val="4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/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1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gradFill flip="none" rotWithShape="1">
        <a:gsLst>
          <a:gs pos="0">
            <a:schemeClr val="phClr"/>
          </a:gs>
          <a:gs pos="75000">
            <a:schemeClr val="phClr">
              <a:lumMod val="60000"/>
              <a:lumOff val="40000"/>
            </a:schemeClr>
          </a:gs>
          <a:gs pos="51000">
            <a:schemeClr val="phClr">
              <a:alpha val="75000"/>
            </a:schemeClr>
          </a:gs>
          <a:gs pos="100000">
            <a:schemeClr val="phClr">
              <a:lumMod val="20000"/>
              <a:lumOff val="80000"/>
              <a:alpha val="15000"/>
            </a:schemeClr>
          </a:gs>
        </a:gsLst>
        <a:lin ang="5400000" scaled="0"/>
      </a:gra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gradFill flip="none" rotWithShape="1">
        <a:gsLst>
          <a:gs pos="0">
            <a:schemeClr val="phClr"/>
          </a:gs>
          <a:gs pos="75000">
            <a:schemeClr val="phClr">
              <a:lumMod val="60000"/>
              <a:lumOff val="40000"/>
            </a:schemeClr>
          </a:gs>
          <a:gs pos="51000">
            <a:schemeClr val="phClr">
              <a:alpha val="75000"/>
            </a:schemeClr>
          </a:gs>
          <a:gs pos="100000">
            <a:schemeClr val="phClr">
              <a:lumMod val="20000"/>
              <a:lumOff val="80000"/>
              <a:alpha val="15000"/>
            </a:schemeClr>
          </a:gs>
        </a:gsLst>
        <a:lin ang="5400000" scaled="0"/>
      </a:gra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gradFill flip="none" rotWithShape="1">
        <a:gsLst>
          <a:gs pos="0">
            <a:schemeClr val="phClr"/>
          </a:gs>
          <a:gs pos="75000">
            <a:schemeClr val="phClr">
              <a:lumMod val="60000"/>
              <a:lumOff val="40000"/>
            </a:schemeClr>
          </a:gs>
          <a:gs pos="51000">
            <a:schemeClr val="phClr">
              <a:alpha val="75000"/>
            </a:schemeClr>
          </a:gs>
          <a:gs pos="100000">
            <a:schemeClr val="phClr">
              <a:lumMod val="20000"/>
              <a:lumOff val="80000"/>
              <a:alpha val="15000"/>
            </a:schemeClr>
          </a:gs>
        </a:gsLst>
        <a:lin ang="5400000" scaled="0"/>
      </a:gradFill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tx1">
                <a:lumMod val="5000"/>
                <a:lumOff val="95000"/>
              </a:schemeClr>
            </a:gs>
            <a:gs pos="0">
              <a:schemeClr val="tx1">
                <a:lumMod val="25000"/>
                <a:lumOff val="7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tx1">
                <a:lumMod val="5000"/>
                <a:lumOff val="95000"/>
              </a:schemeClr>
            </a:gs>
            <a:gs pos="0">
              <a:schemeClr val="tx1">
                <a:lumMod val="25000"/>
                <a:lumOff val="7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  <a:headEnd type="none" w="sm" len="sm"/>
        <a:tailEnd type="none" w="sm" len="sm"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800" b="1" kern="1200" cap="all" spc="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14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800" kern="1200" cap="all" spc="150" normalizeH="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/>
    <cs:fillRef idx="0">
      <cs:styleClr val="auto"/>
    </cs:fillRef>
    <cs:effectRef idx="0"/>
    <cs:fontRef idx="minor">
      <a:schemeClr val="lt1"/>
    </cs:fontRef>
    <cs:spPr>
      <a:solidFill>
        <a:schemeClr val="phClr">
          <a:alpha val="70000"/>
        </a:schemeClr>
      </a:solidFill>
    </cs:spPr>
    <cs:defRPr sz="900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34925" cap="rnd">
        <a:solidFill>
          <a:schemeClr val="lt1"/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03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9050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>
      <cs:styleClr val="auto"/>
    </cs:effectRef>
    <cs:fontRef idx="minor">
      <a:schemeClr val="dk1"/>
    </cs:fontRef>
    <cs:spPr>
      <a:pattFill prst="narHorz">
        <a:fgClr>
          <a:schemeClr val="phClr"/>
        </a:fgClr>
        <a:bgClr>
          <a:schemeClr val="phClr">
            <a:lumMod val="20000"/>
            <a:lumOff val="80000"/>
          </a:schemeClr>
        </a:bgClr>
      </a:pattFill>
      <a:effectLst>
        <a:innerShdw blurRad="114300">
          <a:schemeClr val="phClr"/>
        </a:inn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narHorz">
        <a:fgClr>
          <a:schemeClr val="phClr"/>
        </a:fgClr>
        <a:bgClr>
          <a:schemeClr val="phClr">
            <a:lumMod val="20000"/>
            <a:lumOff val="80000"/>
          </a:schemeClr>
        </a:bgClr>
      </a:pattFill>
      <a:effectLst>
        <a:innerShdw blurRad="114300">
          <a:schemeClr val="phClr"/>
        </a:inn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tx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800" b="1" kern="1200" cap="all" spc="1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2419350</xdr:colOff>
      <xdr:row>0</xdr:row>
      <xdr:rowOff>14285</xdr:rowOff>
    </xdr:from>
    <xdr:to>
      <xdr:col>23</xdr:col>
      <xdr:colOff>133351</xdr:colOff>
      <xdr:row>34</xdr:row>
      <xdr:rowOff>85724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F1B5D95F-B8F1-AA36-2A35-ED0F5AB221B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104775</xdr:colOff>
      <xdr:row>0</xdr:row>
      <xdr:rowOff>14286</xdr:rowOff>
    </xdr:from>
    <xdr:to>
      <xdr:col>29</xdr:col>
      <xdr:colOff>19050</xdr:colOff>
      <xdr:row>38</xdr:row>
      <xdr:rowOff>95249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2B0C93B-DDD1-FB6A-1073-696BC26B007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133349</xdr:colOff>
      <xdr:row>0</xdr:row>
      <xdr:rowOff>80961</xdr:rowOff>
    </xdr:from>
    <xdr:to>
      <xdr:col>21</xdr:col>
      <xdr:colOff>342899</xdr:colOff>
      <xdr:row>35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C64A6BB-452D-BFB3-702B-1C636BAEE37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47625</xdr:colOff>
      <xdr:row>0</xdr:row>
      <xdr:rowOff>90486</xdr:rowOff>
    </xdr:from>
    <xdr:to>
      <xdr:col>27</xdr:col>
      <xdr:colOff>38100</xdr:colOff>
      <xdr:row>36</xdr:row>
      <xdr:rowOff>95249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0592921-9E9D-718B-EDBB-D6734F4AB00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iaran Lynch" refreshedDate="46012.557024884256" createdVersion="8" refreshedVersion="8" minRefreshableVersion="3" recordCount="7" xr:uid="{63178811-DD49-4DB9-8EA5-F9FF8CDE68CC}">
  <cacheSource type="worksheet">
    <worksheetSource name="Game_Number"/>
  </cacheSource>
  <cacheFields count="5">
    <cacheField name="ID" numFmtId="0">
      <sharedItems containsSemiMixedTypes="0" containsString="0" containsNumber="1" containsInteger="1" minValue="1" maxValue="7"/>
    </cacheField>
    <cacheField name="Game_Date" numFmtId="14">
      <sharedItems containsSemiMixedTypes="0" containsNonDate="0" containsDate="1" containsString="0" minDate="2025-01-24T00:00:00" maxDate="2025-12-20T00:00:00"/>
    </cacheField>
    <cacheField name="Host" numFmtId="0">
      <sharedItems containsSemiMixedTypes="0" containsString="0" containsNumber="1" containsInteger="1" minValue="1" maxValue="6"/>
    </cacheField>
    <cacheField name="Structure_ID" numFmtId="0">
      <sharedItems containsSemiMixedTypes="0" containsString="0" containsNumber="1" containsInteger="1" minValue="1" maxValue="1"/>
    </cacheField>
    <cacheField name="Players.FullName" numFmtId="0">
      <sharedItems count="4">
        <s v="Kevin Lee"/>
        <s v="Martin Hunter"/>
        <s v="Seamus Diver"/>
        <s v="Morgan Mooney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Ciaran Lynch" refreshedDate="46012.557528703706" backgroundQuery="1" createdVersion="8" refreshedVersion="8" minRefreshableVersion="3" recordCount="0" supportSubquery="1" supportAdvancedDrill="1" xr:uid="{9F77055F-006D-4CE7-96E8-FB51BFF963A7}">
  <cacheSource type="external" connectionId="11"/>
  <cacheFields count="2">
    <cacheField name="[qry_Player_Cash_Out].[FullName].[FullName]" caption="FullName" numFmtId="0" hierarchy="17" level="1">
      <sharedItems count="10">
        <s v="Barry Hunter"/>
        <s v="Brendan Stevenson"/>
        <s v="Ciaran Lynch"/>
        <s v="Kevin Lee"/>
        <s v="Mark Hunter"/>
        <s v="Martin Hunter"/>
        <s v="Morgan Mooney"/>
        <s v="Ryan **"/>
        <s v="Seamus Diver"/>
        <s v="Steven Black"/>
      </sharedItems>
    </cacheField>
    <cacheField name="[Measures].[Sum of Total Cost]" caption="Sum of Total Cost" numFmtId="0" hierarchy="52" level="32767"/>
  </cacheFields>
  <cacheHierarchies count="56">
    <cacheHierarchy uniqueName="[Game_Number].[ID]" caption="ID" attribute="1" defaultMemberUniqueName="[Game_Number].[ID].[All]" allUniqueName="[Game_Number].[ID].[All]" dimensionUniqueName="[Game_Number]" displayFolder="" count="0" memberValueDatatype="20" unbalanced="0"/>
    <cacheHierarchy uniqueName="[Game_Number].[Game_Date]" caption="Game_Date" attribute="1" time="1" defaultMemberUniqueName="[Game_Number].[Game_Date].[All]" allUniqueName="[Game_Number].[Game_Date].[All]" dimensionUniqueName="[Game_Number]" displayFolder="" count="0" memberValueDatatype="7" unbalanced="0"/>
    <cacheHierarchy uniqueName="[Game_Number].[Host]" caption="Host" attribute="1" defaultMemberUniqueName="[Game_Number].[Host].[All]" allUniqueName="[Game_Number].[Host].[All]" dimensionUniqueName="[Game_Number]" displayFolder="" count="0" memberValueDatatype="20" unbalanced="0"/>
    <cacheHierarchy uniqueName="[Game_Number].[Structure_ID]" caption="Structure_ID" attribute="1" defaultMemberUniqueName="[Game_Number].[Structure_ID].[All]" allUniqueName="[Game_Number].[Structure_ID].[All]" dimensionUniqueName="[Game_Number]" displayFolder="" count="0" memberValueDatatype="20" unbalanced="0"/>
    <cacheHierarchy uniqueName="[Game_Number].[Players.FullName]" caption="Players.FullName" attribute="1" defaultMemberUniqueName="[Game_Number].[Players.FullName].[All]" allUniqueName="[Game_Number].[Players.FullName].[All]" dimensionUniqueName="[Game_Number]" displayFolder="" count="0" memberValueDatatype="130" unbalanced="0"/>
    <cacheHierarchy uniqueName="[Player_Game_Stats].[Game_Number]" caption="Game_Number" attribute="1" defaultMemberUniqueName="[Player_Game_Stats].[Game_Number].[All]" allUniqueName="[Player_Game_Stats].[Game_Number].[All]" dimensionUniqueName="[Player_Game_Stats]" displayFolder="" count="0" memberValueDatatype="20" unbalanced="0"/>
    <cacheHierarchy uniqueName="[Player_Game_Stats].[PlayerNo]" caption="PlayerNo" attribute="1" defaultMemberUniqueName="[Player_Game_Stats].[PlayerNo].[All]" allUniqueName="[Player_Game_Stats].[PlayerNo].[All]" dimensionUniqueName="[Player_Game_Stats]" displayFolder="" count="0" memberValueDatatype="20" unbalanced="0"/>
    <cacheHierarchy uniqueName="[Player_Game_Stats].[BuyIn]" caption="BuyIn" attribute="1" defaultMemberUniqueName="[Player_Game_Stats].[BuyIn].[All]" allUniqueName="[Player_Game_Stats].[BuyIn].[All]" dimensionUniqueName="[Player_Game_Stats]" displayFolder="" count="0" memberValueDatatype="5" unbalanced="0"/>
    <cacheHierarchy uniqueName="[Player_Game_Stats].[Rebuy]" caption="Rebuy" attribute="1" defaultMemberUniqueName="[Player_Game_Stats].[Rebuy].[All]" allUniqueName="[Player_Game_Stats].[Rebuy].[All]" dimensionUniqueName="[Player_Game_Stats]" displayFolder="" count="0" memberValueDatatype="5" unbalanced="0"/>
    <cacheHierarchy uniqueName="[Player_Game_Stats].[CashOut]" caption="CashOut" attribute="1" defaultMemberUniqueName="[Player_Game_Stats].[CashOut].[All]" allUniqueName="[Player_Game_Stats].[CashOut].[All]" dimensionUniqueName="[Player_Game_Stats]" displayFolder="" count="0" memberValueDatatype="5" unbalanced="0"/>
    <cacheHierarchy uniqueName="[Player_Game_Stats].[Players.FullName]" caption="Players.FullName" attribute="1" defaultMemberUniqueName="[Player_Game_Stats].[Players.FullName].[All]" allUniqueName="[Player_Game_Stats].[Players.FullName].[All]" dimensionUniqueName="[Player_Game_Stats]" displayFolder="" count="0" memberValueDatatype="130" unbalanced="0"/>
    <cacheHierarchy uniqueName="[Player_Game_Stats].[ROI]" caption="ROI" attribute="1" defaultMemberUniqueName="[Player_Game_Stats].[ROI].[All]" allUniqueName="[Player_Game_Stats].[ROI].[All]" dimensionUniqueName="[Player_Game_Stats]" displayFolder="" count="0" memberValueDatatype="5" unbalanced="0"/>
    <cacheHierarchy uniqueName="[Player_Game_Stats].[League Points]" caption="League Points" attribute="1" defaultMemberUniqueName="[Player_Game_Stats].[League Points].[All]" allUniqueName="[Player_Game_Stats].[League Points].[All]" dimensionUniqueName="[Player_Game_Stats]" displayFolder="" count="0" memberValueDatatype="5" unbalanced="0"/>
    <cacheHierarchy uniqueName="[Players].[PlayerNo]" caption="PlayerNo" attribute="1" defaultMemberUniqueName="[Players].[PlayerNo].[All]" allUniqueName="[Players].[PlayerNo].[All]" dimensionUniqueName="[Players]" displayFolder="" count="0" memberValueDatatype="20" unbalanced="0"/>
    <cacheHierarchy uniqueName="[Players].[FullName]" caption="FullName" attribute="1" defaultMemberUniqueName="[Players].[FullName].[All]" allUniqueName="[Players].[FullName].[All]" dimensionUniqueName="[Players]" displayFolder="" count="0" memberValueDatatype="130" unbalanced="0"/>
    <cacheHierarchy uniqueName="[qry_Player_Cash_Out].[Game_Number]" caption="Game_Number" attribute="1" defaultMemberUniqueName="[qry_Player_Cash_Out].[Game_Number].[All]" allUniqueName="[qry_Player_Cash_Out].[Game_Number].[All]" dimensionUniqueName="[qry_Player_Cash_Out]" displayFolder="" count="0" memberValueDatatype="20" unbalanced="0"/>
    <cacheHierarchy uniqueName="[qry_Player_Cash_Out].[PlayerNo]" caption="PlayerNo" attribute="1" defaultMemberUniqueName="[qry_Player_Cash_Out].[PlayerNo].[All]" allUniqueName="[qry_Player_Cash_Out].[PlayerNo].[All]" dimensionUniqueName="[qry_Player_Cash_Out]" displayFolder="" count="0" memberValueDatatype="20" unbalanced="0"/>
    <cacheHierarchy uniqueName="[qry_Player_Cash_Out].[FullName]" caption="FullName" attribute="1" defaultMemberUniqueName="[qry_Player_Cash_Out].[FullName].[All]" allUniqueName="[qry_Player_Cash_Out].[FullName].[All]" dimensionUniqueName="[qry_Player_Cash_Out]" displayFolder="" count="2" memberValueDatatype="130" unbalanced="0">
      <fieldsUsage count="2">
        <fieldUsage x="-1"/>
        <fieldUsage x="0"/>
      </fieldsUsage>
    </cacheHierarchy>
    <cacheHierarchy uniqueName="[qry_Player_Cash_Out].[BuyIn]" caption="BuyIn" attribute="1" defaultMemberUniqueName="[qry_Player_Cash_Out].[BuyIn].[All]" allUniqueName="[qry_Player_Cash_Out].[BuyIn].[All]" dimensionUniqueName="[qry_Player_Cash_Out]" displayFolder="" count="0" memberValueDatatype="5" unbalanced="0"/>
    <cacheHierarchy uniqueName="[qry_Player_Cash_Out].[Rebuy]" caption="Rebuy" attribute="1" defaultMemberUniqueName="[qry_Player_Cash_Out].[Rebuy].[All]" allUniqueName="[qry_Player_Cash_Out].[Rebuy].[All]" dimensionUniqueName="[qry_Player_Cash_Out]" displayFolder="" count="0" memberValueDatatype="5" unbalanced="0"/>
    <cacheHierarchy uniqueName="[qry_Player_Cash_Out].[Total Cost]" caption="Total Cost" attribute="1" defaultMemberUniqueName="[qry_Player_Cash_Out].[Total Cost].[All]" allUniqueName="[qry_Player_Cash_Out].[Total Cost].[All]" dimensionUniqueName="[qry_Player_Cash_Out]" displayFolder="" count="0" memberValueDatatype="5" unbalanced="0"/>
    <cacheHierarchy uniqueName="[qry_Player_Cash_Out].[CashOut]" caption="CashOut" attribute="1" defaultMemberUniqueName="[qry_Player_Cash_Out].[CashOut].[All]" allUniqueName="[qry_Player_Cash_Out].[CashOut].[All]" dimensionUniqueName="[qry_Player_Cash_Out]" displayFolder="" count="0" memberValueDatatype="5" unbalanced="0"/>
    <cacheHierarchy uniqueName="[qry_Player_Cash_Out].[Profit]" caption="Profit" attribute="1" defaultMemberUniqueName="[qry_Player_Cash_Out].[Profit].[All]" allUniqueName="[qry_Player_Cash_Out].[Profit].[All]" dimensionUniqueName="[qry_Player_Cash_Out]" displayFolder="" count="0" memberValueDatatype="5" unbalanced="0"/>
    <cacheHierarchy uniqueName="[qry_Player_Stats].[Game_Number]" caption="Game_Number" attribute="1" defaultMemberUniqueName="[qry_Player_Stats].[Game_Number].[All]" allUniqueName="[qry_Player_Stats].[Game_Number].[All]" dimensionUniqueName="[qry_Player_Stats]" displayFolder="" count="0" memberValueDatatype="20" unbalanced="0"/>
    <cacheHierarchy uniqueName="[qry_Player_Stats].[PlayerNo]" caption="PlayerNo" attribute="1" defaultMemberUniqueName="[qry_Player_Stats].[PlayerNo].[All]" allUniqueName="[qry_Player_Stats].[PlayerNo].[All]" dimensionUniqueName="[qry_Player_Stats]" displayFolder="" count="0" memberValueDatatype="20" unbalanced="0"/>
    <cacheHierarchy uniqueName="[qry_Player_Stats].[BuyIn]" caption="BuyIn" attribute="1" defaultMemberUniqueName="[qry_Player_Stats].[BuyIn].[All]" allUniqueName="[qry_Player_Stats].[BuyIn].[All]" dimensionUniqueName="[qry_Player_Stats]" displayFolder="" count="0" memberValueDatatype="5" unbalanced="0"/>
    <cacheHierarchy uniqueName="[qry_Player_Stats].[Rebuy]" caption="Rebuy" attribute="1" defaultMemberUniqueName="[qry_Player_Stats].[Rebuy].[All]" allUniqueName="[qry_Player_Stats].[Rebuy].[All]" dimensionUniqueName="[qry_Player_Stats]" displayFolder="" count="0" memberValueDatatype="5" unbalanced="0"/>
    <cacheHierarchy uniqueName="[qry_Player_Stats].[CashOut]" caption="CashOut" attribute="1" defaultMemberUniqueName="[qry_Player_Stats].[CashOut].[All]" allUniqueName="[qry_Player_Stats].[CashOut].[All]" dimensionUniqueName="[qry_Player_Stats]" displayFolder="" count="0" memberValueDatatype="5" unbalanced="0"/>
    <cacheHierarchy uniqueName="[Structure].[Structure_ID]" caption="Structure_ID" attribute="1" defaultMemberUniqueName="[Structure].[Structure_ID].[All]" allUniqueName="[Structure].[Structure_ID].[All]" dimensionUniqueName="[Structure]" displayFolder="" count="0" memberValueDatatype="20" unbalanced="0"/>
    <cacheHierarchy uniqueName="[Structure].[StructureName]" caption="StructureName" attribute="1" defaultMemberUniqueName="[Structure].[StructureName].[All]" allUniqueName="[Structure].[StructureName].[All]" dimensionUniqueName="[Structure]" displayFolder="" count="0" memberValueDatatype="130" unbalanced="0"/>
    <cacheHierarchy uniqueName="[Structure].[GameType]" caption="GameType" attribute="1" defaultMemberUniqueName="[Structure].[GameType].[All]" allUniqueName="[Structure].[GameType].[All]" dimensionUniqueName="[Structure]" displayFolder="" count="0" memberValueDatatype="130" unbalanced="0"/>
    <cacheHierarchy uniqueName="[Structure_Levels].[LevelID]" caption="LevelID" attribute="1" defaultMemberUniqueName="[Structure_Levels].[LevelID].[All]" allUniqueName="[Structure_Levels].[LevelID].[All]" dimensionUniqueName="[Structure_Levels]" displayFolder="" count="0" memberValueDatatype="20" unbalanced="0"/>
    <cacheHierarchy uniqueName="[Structure_Levels].[Structure_ID]" caption="Structure_ID" attribute="1" defaultMemberUniqueName="[Structure_Levels].[Structure_ID].[All]" allUniqueName="[Structure_Levels].[Structure_ID].[All]" dimensionUniqueName="[Structure_Levels]" displayFolder="" count="0" memberValueDatatype="20" unbalanced="0"/>
    <cacheHierarchy uniqueName="[Structure_Levels].[LevelName]" caption="LevelName" attribute="1" defaultMemberUniqueName="[Structure_Levels].[LevelName].[All]" allUniqueName="[Structure_Levels].[LevelName].[All]" dimensionUniqueName="[Structure_Levels]" displayFolder="" count="0" memberValueDatatype="130" unbalanced="0"/>
    <cacheHierarchy uniqueName="[Structure_Levels].[Level_Small_Blind]" caption="Level_Small_Blind" attribute="1" defaultMemberUniqueName="[Structure_Levels].[Level_Small_Blind].[All]" allUniqueName="[Structure_Levels].[Level_Small_Blind].[All]" dimensionUniqueName="[Structure_Levels]" displayFolder="" count="0" memberValueDatatype="130" unbalanced="0"/>
    <cacheHierarchy uniqueName="[Structure_Levels].[Level_Big_Blind]" caption="Level_Big_Blind" attribute="1" defaultMemberUniqueName="[Structure_Levels].[Level_Big_Blind].[All]" allUniqueName="[Structure_Levels].[Level_Big_Blind].[All]" dimensionUniqueName="[Structure_Levels]" displayFolder="" count="0" memberValueDatatype="130" unbalanced="0"/>
    <cacheHierarchy uniqueName="[Structure_Levels].[Level_Time]" caption="Level_Time" attribute="1" time="1" defaultMemberUniqueName="[Structure_Levels].[Level_Time].[All]" allUniqueName="[Structure_Levels].[Level_Time].[All]" dimensionUniqueName="[Structure_Levels]" displayFolder="" count="0" memberValueDatatype="7" unbalanced="0"/>
    <cacheHierarchy uniqueName="[Structure_Levels].[Comment]" caption="Comment" attribute="1" defaultMemberUniqueName="[Structure_Levels].[Comment].[All]" allUniqueName="[Structure_Levels].[Comment].[All]" dimensionUniqueName="[Structure_Levels]" displayFolder="" count="0" memberValueDatatype="130" unbalanced="0"/>
    <cacheHierarchy uniqueName="[Measures].[__XL_Count Players]" caption="__XL_Count Players" measure="1" displayFolder="" measureGroup="Players" count="0" hidden="1"/>
    <cacheHierarchy uniqueName="[Measures].[__XL_Count Player_Game_Stats]" caption="__XL_Count Player_Game_Stats" measure="1" displayFolder="" measureGroup="Player_Game_Stats" count="0" hidden="1"/>
    <cacheHierarchy uniqueName="[Measures].[__XL_Count Game_Number]" caption="__XL_Count Game_Number" measure="1" displayFolder="" measureGroup="Game_Number" count="0" hidden="1"/>
    <cacheHierarchy uniqueName="[Measures].[__XL_Count Structure]" caption="__XL_Count Structure" measure="1" displayFolder="" measureGroup="Structure" count="0" hidden="1"/>
    <cacheHierarchy uniqueName="[Measures].[__XL_Count Structure_Levels]" caption="__XL_Count Structure_Levels" measure="1" displayFolder="" measureGroup="Structure_Levels" count="0" hidden="1"/>
    <cacheHierarchy uniqueName="[Measures].[__XL_Count qry_Player_Cash_Out]" caption="__XL_Count qry_Player_Cash_Out" measure="1" displayFolder="" measureGroup="qry_Player_Cash_Out" count="0" hidden="1"/>
    <cacheHierarchy uniqueName="[Measures].[__XL_Count qry_Player_Stats]" caption="__XL_Count qry_Player_Stats" measure="1" displayFolder="" measureGroup="qry_Player_Stats" count="0" hidden="1"/>
    <cacheHierarchy uniqueName="[Measures].[__No measures defined]" caption="__No measures defined" measure="1" displayFolder="" count="0" hidden="1"/>
    <cacheHierarchy uniqueName="[Measures].[Sum of CashOut]" caption="Sum of CashOut" measure="1" displayFolder="" measureGroup="Player_Game_Stats" count="0" hidden="1">
      <extLst>
        <ext xmlns:x15="http://schemas.microsoft.com/office/spreadsheetml/2010/11/main" uri="{B97F6D7D-B522-45F9-BDA1-12C45D357490}">
          <x15:cacheHierarchy aggregatedColumn="9"/>
        </ext>
      </extLst>
    </cacheHierarchy>
    <cacheHierarchy uniqueName="[Measures].[Sum of ROI]" caption="Sum of ROI" measure="1" displayFolder="" measureGroup="Player_Game_Stats" count="0" hidden="1">
      <extLst>
        <ext xmlns:x15="http://schemas.microsoft.com/office/spreadsheetml/2010/11/main" uri="{B97F6D7D-B522-45F9-BDA1-12C45D357490}">
          <x15:cacheHierarchy aggregatedColumn="11"/>
        </ext>
      </extLst>
    </cacheHierarchy>
    <cacheHierarchy uniqueName="[Measures].[Sum of BuyIn]" caption="Sum of BuyIn" measure="1" displayFolder="" measureGroup="Player_Game_Stats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Rebuy]" caption="Sum of Rebuy" measure="1" displayFolder="" measureGroup="Player_Game_Stats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Count of League Points]" caption="Count of League Points" measure="1" displayFolder="" measureGroup="Player_Game_Stats" count="0" hidden="1">
      <extLst>
        <ext xmlns:x15="http://schemas.microsoft.com/office/spreadsheetml/2010/11/main" uri="{B97F6D7D-B522-45F9-BDA1-12C45D357490}">
          <x15:cacheHierarchy aggregatedColumn="12"/>
        </ext>
      </extLst>
    </cacheHierarchy>
    <cacheHierarchy uniqueName="[Measures].[Sum of League Points]" caption="Sum of League Points" measure="1" displayFolder="" measureGroup="Player_Game_Stats" count="0" hidden="1">
      <extLst>
        <ext xmlns:x15="http://schemas.microsoft.com/office/spreadsheetml/2010/11/main" uri="{B97F6D7D-B522-45F9-BDA1-12C45D357490}">
          <x15:cacheHierarchy aggregatedColumn="12"/>
        </ext>
      </extLst>
    </cacheHierarchy>
    <cacheHierarchy uniqueName="[Measures].[Sum of Total Cost]" caption="Sum of Total Cost" measure="1" displayFolder="" measureGroup="qry_Player_Cash_Out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20"/>
        </ext>
      </extLst>
    </cacheHierarchy>
    <cacheHierarchy uniqueName="[Measures].[Sum of ID]" caption="Sum of ID" measure="1" displayFolder="" measureGroup="Game_Number" count="0" hidden="1">
      <extLst>
        <ext xmlns:x15="http://schemas.microsoft.com/office/spreadsheetml/2010/11/main" uri="{B97F6D7D-B522-45F9-BDA1-12C45D357490}">
          <x15:cacheHierarchy aggregatedColumn="0"/>
        </ext>
      </extLst>
    </cacheHierarchy>
    <cacheHierarchy uniqueName="[Measures].[Count of Host]" caption="Count of Host" measure="1" displayFolder="" measureGroup="Game_Number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Count of FullName]" caption="Count of FullName" measure="1" displayFolder="" measureGroup="Players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</cacheHierarchies>
  <kpis count="0"/>
  <dimensions count="8">
    <dimension name="Game_Number" uniqueName="[Game_Number]" caption="Game_Number"/>
    <dimension measure="1" name="Measures" uniqueName="[Measures]" caption="Measures"/>
    <dimension name="Player_Game_Stats" uniqueName="[Player_Game_Stats]" caption="Player_Game_Stats"/>
    <dimension name="Players" uniqueName="[Players]" caption="Players"/>
    <dimension name="qry_Player_Cash_Out" uniqueName="[qry_Player_Cash_Out]" caption="qry_Player_Cash_Out"/>
    <dimension name="qry_Player_Stats" uniqueName="[qry_Player_Stats]" caption="qry_Player_Stats"/>
    <dimension name="Structure" uniqueName="[Structure]" caption="Structure"/>
    <dimension name="Structure_Levels" uniqueName="[Structure_Levels]" caption="Structure_Levels"/>
  </dimensions>
  <measureGroups count="7">
    <measureGroup name="Game_Number" caption="Game_Number"/>
    <measureGroup name="Player_Game_Stats" caption="Player_Game_Stats"/>
    <measureGroup name="Players" caption="Players"/>
    <measureGroup name="qry_Player_Cash_Out" caption="qry_Player_Cash_Out"/>
    <measureGroup name="qry_Player_Stats" caption="qry_Player_Stats"/>
    <measureGroup name="Structure" caption="Structure"/>
    <measureGroup name="Structure_Levels" caption="Structure_Levels"/>
  </measureGroups>
  <maps count="14">
    <map measureGroup="0" dimension="0"/>
    <map measureGroup="0" dimension="6"/>
    <map measureGroup="1" dimension="0"/>
    <map measureGroup="1" dimension="2"/>
    <map measureGroup="1" dimension="3"/>
    <map measureGroup="1" dimension="6"/>
    <map measureGroup="2" dimension="3"/>
    <map measureGroup="3" dimension="0"/>
    <map measureGroup="3" dimension="4"/>
    <map measureGroup="3" dimension="6"/>
    <map measureGroup="4" dimension="5"/>
    <map measureGroup="5" dimension="6"/>
    <map measureGroup="6" dimension="6"/>
    <map measureGroup="6" dimension="7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Ciaran Lynch" refreshedDate="46012.557865856485" backgroundQuery="1" createdVersion="8" refreshedVersion="8" minRefreshableVersion="3" recordCount="0" supportSubquery="1" supportAdvancedDrill="1" xr:uid="{57E08353-12A7-4F25-8CC0-1C366619C44B}">
  <cacheSource type="external" connectionId="11"/>
  <cacheFields count="2">
    <cacheField name="[Player_Game_Stats].[Players.FullName].[Players.FullName]" caption="Players.FullName" numFmtId="0" hierarchy="10" level="1">
      <sharedItems count="10">
        <s v="Barry Hunter"/>
        <s v="Brendan Stevenson"/>
        <s v="Ciaran Lynch"/>
        <s v="Kevin Lee"/>
        <s v="Mark Hunter"/>
        <s v="Martin Hunter"/>
        <s v="Morgan Mooney"/>
        <s v="Ryan **"/>
        <s v="Seamus Diver"/>
        <s v="Steven Black"/>
      </sharedItems>
    </cacheField>
    <cacheField name="[Measures].[Sum of League Points]" caption="Sum of League Points" numFmtId="0" hierarchy="51" level="32767"/>
  </cacheFields>
  <cacheHierarchies count="56">
    <cacheHierarchy uniqueName="[Game_Number].[ID]" caption="ID" attribute="1" defaultMemberUniqueName="[Game_Number].[ID].[All]" allUniqueName="[Game_Number].[ID].[All]" dimensionUniqueName="[Game_Number]" displayFolder="" count="0" memberValueDatatype="20" unbalanced="0"/>
    <cacheHierarchy uniqueName="[Game_Number].[Game_Date]" caption="Game_Date" attribute="1" time="1" defaultMemberUniqueName="[Game_Number].[Game_Date].[All]" allUniqueName="[Game_Number].[Game_Date].[All]" dimensionUniqueName="[Game_Number]" displayFolder="" count="0" memberValueDatatype="7" unbalanced="0"/>
    <cacheHierarchy uniqueName="[Game_Number].[Host]" caption="Host" attribute="1" defaultMemberUniqueName="[Game_Number].[Host].[All]" allUniqueName="[Game_Number].[Host].[All]" dimensionUniqueName="[Game_Number]" displayFolder="" count="0" memberValueDatatype="20" unbalanced="0"/>
    <cacheHierarchy uniqueName="[Game_Number].[Structure_ID]" caption="Structure_ID" attribute="1" defaultMemberUniqueName="[Game_Number].[Structure_ID].[All]" allUniqueName="[Game_Number].[Structure_ID].[All]" dimensionUniqueName="[Game_Number]" displayFolder="" count="0" memberValueDatatype="20" unbalanced="0"/>
    <cacheHierarchy uniqueName="[Game_Number].[Players.FullName]" caption="Players.FullName" attribute="1" defaultMemberUniqueName="[Game_Number].[Players.FullName].[All]" allUniqueName="[Game_Number].[Players.FullName].[All]" dimensionUniqueName="[Game_Number]" displayFolder="" count="0" memberValueDatatype="130" unbalanced="0"/>
    <cacheHierarchy uniqueName="[Player_Game_Stats].[Game_Number]" caption="Game_Number" attribute="1" defaultMemberUniqueName="[Player_Game_Stats].[Game_Number].[All]" allUniqueName="[Player_Game_Stats].[Game_Number].[All]" dimensionUniqueName="[Player_Game_Stats]" displayFolder="" count="0" memberValueDatatype="20" unbalanced="0"/>
    <cacheHierarchy uniqueName="[Player_Game_Stats].[PlayerNo]" caption="PlayerNo" attribute="1" defaultMemberUniqueName="[Player_Game_Stats].[PlayerNo].[All]" allUniqueName="[Player_Game_Stats].[PlayerNo].[All]" dimensionUniqueName="[Player_Game_Stats]" displayFolder="" count="0" memberValueDatatype="20" unbalanced="0"/>
    <cacheHierarchy uniqueName="[Player_Game_Stats].[BuyIn]" caption="BuyIn" attribute="1" defaultMemberUniqueName="[Player_Game_Stats].[BuyIn].[All]" allUniqueName="[Player_Game_Stats].[BuyIn].[All]" dimensionUniqueName="[Player_Game_Stats]" displayFolder="" count="0" memberValueDatatype="5" unbalanced="0"/>
    <cacheHierarchy uniqueName="[Player_Game_Stats].[Rebuy]" caption="Rebuy" attribute="1" defaultMemberUniqueName="[Player_Game_Stats].[Rebuy].[All]" allUniqueName="[Player_Game_Stats].[Rebuy].[All]" dimensionUniqueName="[Player_Game_Stats]" displayFolder="" count="0" memberValueDatatype="5" unbalanced="0"/>
    <cacheHierarchy uniqueName="[Player_Game_Stats].[CashOut]" caption="CashOut" attribute="1" defaultMemberUniqueName="[Player_Game_Stats].[CashOut].[All]" allUniqueName="[Player_Game_Stats].[CashOut].[All]" dimensionUniqueName="[Player_Game_Stats]" displayFolder="" count="0" memberValueDatatype="5" unbalanced="0"/>
    <cacheHierarchy uniqueName="[Player_Game_Stats].[Players.FullName]" caption="Players.FullName" attribute="1" defaultMemberUniqueName="[Player_Game_Stats].[Players.FullName].[All]" allUniqueName="[Player_Game_Stats].[Players.FullName].[All]" dimensionUniqueName="[Player_Game_Stats]" displayFolder="" count="2" memberValueDatatype="130" unbalanced="0">
      <fieldsUsage count="2">
        <fieldUsage x="-1"/>
        <fieldUsage x="0"/>
      </fieldsUsage>
    </cacheHierarchy>
    <cacheHierarchy uniqueName="[Player_Game_Stats].[ROI]" caption="ROI" attribute="1" defaultMemberUniqueName="[Player_Game_Stats].[ROI].[All]" allUniqueName="[Player_Game_Stats].[ROI].[All]" dimensionUniqueName="[Player_Game_Stats]" displayFolder="" count="0" memberValueDatatype="5" unbalanced="0"/>
    <cacheHierarchy uniqueName="[Player_Game_Stats].[League Points]" caption="League Points" attribute="1" defaultMemberUniqueName="[Player_Game_Stats].[League Points].[All]" allUniqueName="[Player_Game_Stats].[League Points].[All]" dimensionUniqueName="[Player_Game_Stats]" displayFolder="" count="0" memberValueDatatype="5" unbalanced="0"/>
    <cacheHierarchy uniqueName="[Players].[PlayerNo]" caption="PlayerNo" attribute="1" defaultMemberUniqueName="[Players].[PlayerNo].[All]" allUniqueName="[Players].[PlayerNo].[All]" dimensionUniqueName="[Players]" displayFolder="" count="0" memberValueDatatype="20" unbalanced="0"/>
    <cacheHierarchy uniqueName="[Players].[FullName]" caption="FullName" attribute="1" defaultMemberUniqueName="[Players].[FullName].[All]" allUniqueName="[Players].[FullName].[All]" dimensionUniqueName="[Players]" displayFolder="" count="0" memberValueDatatype="130" unbalanced="0"/>
    <cacheHierarchy uniqueName="[qry_Player_Cash_Out].[Game_Number]" caption="Game_Number" attribute="1" defaultMemberUniqueName="[qry_Player_Cash_Out].[Game_Number].[All]" allUniqueName="[qry_Player_Cash_Out].[Game_Number].[All]" dimensionUniqueName="[qry_Player_Cash_Out]" displayFolder="" count="0" memberValueDatatype="20" unbalanced="0"/>
    <cacheHierarchy uniqueName="[qry_Player_Cash_Out].[PlayerNo]" caption="PlayerNo" attribute="1" defaultMemberUniqueName="[qry_Player_Cash_Out].[PlayerNo].[All]" allUniqueName="[qry_Player_Cash_Out].[PlayerNo].[All]" dimensionUniqueName="[qry_Player_Cash_Out]" displayFolder="" count="0" memberValueDatatype="20" unbalanced="0"/>
    <cacheHierarchy uniqueName="[qry_Player_Cash_Out].[FullName]" caption="FullName" attribute="1" defaultMemberUniqueName="[qry_Player_Cash_Out].[FullName].[All]" allUniqueName="[qry_Player_Cash_Out].[FullName].[All]" dimensionUniqueName="[qry_Player_Cash_Out]" displayFolder="" count="0" memberValueDatatype="130" unbalanced="0"/>
    <cacheHierarchy uniqueName="[qry_Player_Cash_Out].[BuyIn]" caption="BuyIn" attribute="1" defaultMemberUniqueName="[qry_Player_Cash_Out].[BuyIn].[All]" allUniqueName="[qry_Player_Cash_Out].[BuyIn].[All]" dimensionUniqueName="[qry_Player_Cash_Out]" displayFolder="" count="0" memberValueDatatype="5" unbalanced="0"/>
    <cacheHierarchy uniqueName="[qry_Player_Cash_Out].[Rebuy]" caption="Rebuy" attribute="1" defaultMemberUniqueName="[qry_Player_Cash_Out].[Rebuy].[All]" allUniqueName="[qry_Player_Cash_Out].[Rebuy].[All]" dimensionUniqueName="[qry_Player_Cash_Out]" displayFolder="" count="0" memberValueDatatype="5" unbalanced="0"/>
    <cacheHierarchy uniqueName="[qry_Player_Cash_Out].[Total Cost]" caption="Total Cost" attribute="1" defaultMemberUniqueName="[qry_Player_Cash_Out].[Total Cost].[All]" allUniqueName="[qry_Player_Cash_Out].[Total Cost].[All]" dimensionUniqueName="[qry_Player_Cash_Out]" displayFolder="" count="0" memberValueDatatype="5" unbalanced="0"/>
    <cacheHierarchy uniqueName="[qry_Player_Cash_Out].[CashOut]" caption="CashOut" attribute="1" defaultMemberUniqueName="[qry_Player_Cash_Out].[CashOut].[All]" allUniqueName="[qry_Player_Cash_Out].[CashOut].[All]" dimensionUniqueName="[qry_Player_Cash_Out]" displayFolder="" count="0" memberValueDatatype="5" unbalanced="0"/>
    <cacheHierarchy uniqueName="[qry_Player_Cash_Out].[Profit]" caption="Profit" attribute="1" defaultMemberUniqueName="[qry_Player_Cash_Out].[Profit].[All]" allUniqueName="[qry_Player_Cash_Out].[Profit].[All]" dimensionUniqueName="[qry_Player_Cash_Out]" displayFolder="" count="0" memberValueDatatype="5" unbalanced="0"/>
    <cacheHierarchy uniqueName="[qry_Player_Stats].[Game_Number]" caption="Game_Number" attribute="1" defaultMemberUniqueName="[qry_Player_Stats].[Game_Number].[All]" allUniqueName="[qry_Player_Stats].[Game_Number].[All]" dimensionUniqueName="[qry_Player_Stats]" displayFolder="" count="0" memberValueDatatype="20" unbalanced="0"/>
    <cacheHierarchy uniqueName="[qry_Player_Stats].[PlayerNo]" caption="PlayerNo" attribute="1" defaultMemberUniqueName="[qry_Player_Stats].[PlayerNo].[All]" allUniqueName="[qry_Player_Stats].[PlayerNo].[All]" dimensionUniqueName="[qry_Player_Stats]" displayFolder="" count="0" memberValueDatatype="20" unbalanced="0"/>
    <cacheHierarchy uniqueName="[qry_Player_Stats].[BuyIn]" caption="BuyIn" attribute="1" defaultMemberUniqueName="[qry_Player_Stats].[BuyIn].[All]" allUniqueName="[qry_Player_Stats].[BuyIn].[All]" dimensionUniqueName="[qry_Player_Stats]" displayFolder="" count="0" memberValueDatatype="5" unbalanced="0"/>
    <cacheHierarchy uniqueName="[qry_Player_Stats].[Rebuy]" caption="Rebuy" attribute="1" defaultMemberUniqueName="[qry_Player_Stats].[Rebuy].[All]" allUniqueName="[qry_Player_Stats].[Rebuy].[All]" dimensionUniqueName="[qry_Player_Stats]" displayFolder="" count="0" memberValueDatatype="5" unbalanced="0"/>
    <cacheHierarchy uniqueName="[qry_Player_Stats].[CashOut]" caption="CashOut" attribute="1" defaultMemberUniqueName="[qry_Player_Stats].[CashOut].[All]" allUniqueName="[qry_Player_Stats].[CashOut].[All]" dimensionUniqueName="[qry_Player_Stats]" displayFolder="" count="0" memberValueDatatype="5" unbalanced="0"/>
    <cacheHierarchy uniqueName="[Structure].[Structure_ID]" caption="Structure_ID" attribute="1" defaultMemberUniqueName="[Structure].[Structure_ID].[All]" allUniqueName="[Structure].[Structure_ID].[All]" dimensionUniqueName="[Structure]" displayFolder="" count="0" memberValueDatatype="20" unbalanced="0"/>
    <cacheHierarchy uniqueName="[Structure].[StructureName]" caption="StructureName" attribute="1" defaultMemberUniqueName="[Structure].[StructureName].[All]" allUniqueName="[Structure].[StructureName].[All]" dimensionUniqueName="[Structure]" displayFolder="" count="0" memberValueDatatype="130" unbalanced="0"/>
    <cacheHierarchy uniqueName="[Structure].[GameType]" caption="GameType" attribute="1" defaultMemberUniqueName="[Structure].[GameType].[All]" allUniqueName="[Structure].[GameType].[All]" dimensionUniqueName="[Structure]" displayFolder="" count="0" memberValueDatatype="130" unbalanced="0"/>
    <cacheHierarchy uniqueName="[Structure_Levels].[LevelID]" caption="LevelID" attribute="1" defaultMemberUniqueName="[Structure_Levels].[LevelID].[All]" allUniqueName="[Structure_Levels].[LevelID].[All]" dimensionUniqueName="[Structure_Levels]" displayFolder="" count="0" memberValueDatatype="20" unbalanced="0"/>
    <cacheHierarchy uniqueName="[Structure_Levels].[Structure_ID]" caption="Structure_ID" attribute="1" defaultMemberUniqueName="[Structure_Levels].[Structure_ID].[All]" allUniqueName="[Structure_Levels].[Structure_ID].[All]" dimensionUniqueName="[Structure_Levels]" displayFolder="" count="0" memberValueDatatype="20" unbalanced="0"/>
    <cacheHierarchy uniqueName="[Structure_Levels].[LevelName]" caption="LevelName" attribute="1" defaultMemberUniqueName="[Structure_Levels].[LevelName].[All]" allUniqueName="[Structure_Levels].[LevelName].[All]" dimensionUniqueName="[Structure_Levels]" displayFolder="" count="0" memberValueDatatype="130" unbalanced="0"/>
    <cacheHierarchy uniqueName="[Structure_Levels].[Level_Small_Blind]" caption="Level_Small_Blind" attribute="1" defaultMemberUniqueName="[Structure_Levels].[Level_Small_Blind].[All]" allUniqueName="[Structure_Levels].[Level_Small_Blind].[All]" dimensionUniqueName="[Structure_Levels]" displayFolder="" count="0" memberValueDatatype="130" unbalanced="0"/>
    <cacheHierarchy uniqueName="[Structure_Levels].[Level_Big_Blind]" caption="Level_Big_Blind" attribute="1" defaultMemberUniqueName="[Structure_Levels].[Level_Big_Blind].[All]" allUniqueName="[Structure_Levels].[Level_Big_Blind].[All]" dimensionUniqueName="[Structure_Levels]" displayFolder="" count="0" memberValueDatatype="130" unbalanced="0"/>
    <cacheHierarchy uniqueName="[Structure_Levels].[Level_Time]" caption="Level_Time" attribute="1" time="1" defaultMemberUniqueName="[Structure_Levels].[Level_Time].[All]" allUniqueName="[Structure_Levels].[Level_Time].[All]" dimensionUniqueName="[Structure_Levels]" displayFolder="" count="0" memberValueDatatype="7" unbalanced="0"/>
    <cacheHierarchy uniqueName="[Structure_Levels].[Comment]" caption="Comment" attribute="1" defaultMemberUniqueName="[Structure_Levels].[Comment].[All]" allUniqueName="[Structure_Levels].[Comment].[All]" dimensionUniqueName="[Structure_Levels]" displayFolder="" count="0" memberValueDatatype="130" unbalanced="0"/>
    <cacheHierarchy uniqueName="[Measures].[__XL_Count Players]" caption="__XL_Count Players" measure="1" displayFolder="" measureGroup="Players" count="0" hidden="1"/>
    <cacheHierarchy uniqueName="[Measures].[__XL_Count Player_Game_Stats]" caption="__XL_Count Player_Game_Stats" measure="1" displayFolder="" measureGroup="Player_Game_Stats" count="0" hidden="1"/>
    <cacheHierarchy uniqueName="[Measures].[__XL_Count Game_Number]" caption="__XL_Count Game_Number" measure="1" displayFolder="" measureGroup="Game_Number" count="0" hidden="1"/>
    <cacheHierarchy uniqueName="[Measures].[__XL_Count Structure]" caption="__XL_Count Structure" measure="1" displayFolder="" measureGroup="Structure" count="0" hidden="1"/>
    <cacheHierarchy uniqueName="[Measures].[__XL_Count Structure_Levels]" caption="__XL_Count Structure_Levels" measure="1" displayFolder="" measureGroup="Structure_Levels" count="0" hidden="1"/>
    <cacheHierarchy uniqueName="[Measures].[__XL_Count qry_Player_Cash_Out]" caption="__XL_Count qry_Player_Cash_Out" measure="1" displayFolder="" measureGroup="qry_Player_Cash_Out" count="0" hidden="1"/>
    <cacheHierarchy uniqueName="[Measures].[__XL_Count qry_Player_Stats]" caption="__XL_Count qry_Player_Stats" measure="1" displayFolder="" measureGroup="qry_Player_Stats" count="0" hidden="1"/>
    <cacheHierarchy uniqueName="[Measures].[__No measures defined]" caption="__No measures defined" measure="1" displayFolder="" count="0" hidden="1"/>
    <cacheHierarchy uniqueName="[Measures].[Sum of CashOut]" caption="Sum of CashOut" measure="1" displayFolder="" measureGroup="Player_Game_Stats" count="0" hidden="1">
      <extLst>
        <ext xmlns:x15="http://schemas.microsoft.com/office/spreadsheetml/2010/11/main" uri="{B97F6D7D-B522-45F9-BDA1-12C45D357490}">
          <x15:cacheHierarchy aggregatedColumn="9"/>
        </ext>
      </extLst>
    </cacheHierarchy>
    <cacheHierarchy uniqueName="[Measures].[Sum of ROI]" caption="Sum of ROI" measure="1" displayFolder="" measureGroup="Player_Game_Stats" count="0" hidden="1">
      <extLst>
        <ext xmlns:x15="http://schemas.microsoft.com/office/spreadsheetml/2010/11/main" uri="{B97F6D7D-B522-45F9-BDA1-12C45D357490}">
          <x15:cacheHierarchy aggregatedColumn="11"/>
        </ext>
      </extLst>
    </cacheHierarchy>
    <cacheHierarchy uniqueName="[Measures].[Sum of BuyIn]" caption="Sum of BuyIn" measure="1" displayFolder="" measureGroup="Player_Game_Stats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Rebuy]" caption="Sum of Rebuy" measure="1" displayFolder="" measureGroup="Player_Game_Stats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Count of League Points]" caption="Count of League Points" measure="1" displayFolder="" measureGroup="Player_Game_Stats" count="0" hidden="1">
      <extLst>
        <ext xmlns:x15="http://schemas.microsoft.com/office/spreadsheetml/2010/11/main" uri="{B97F6D7D-B522-45F9-BDA1-12C45D357490}">
          <x15:cacheHierarchy aggregatedColumn="12"/>
        </ext>
      </extLst>
    </cacheHierarchy>
    <cacheHierarchy uniqueName="[Measures].[Sum of League Points]" caption="Sum of League Points" measure="1" displayFolder="" measureGroup="Player_Game_Stats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12"/>
        </ext>
      </extLst>
    </cacheHierarchy>
    <cacheHierarchy uniqueName="[Measures].[Sum of Total Cost]" caption="Sum of Total Cost" measure="1" displayFolder="" measureGroup="qry_Player_Cash_Out" count="0" hidden="1">
      <extLst>
        <ext xmlns:x15="http://schemas.microsoft.com/office/spreadsheetml/2010/11/main" uri="{B97F6D7D-B522-45F9-BDA1-12C45D357490}">
          <x15:cacheHierarchy aggregatedColumn="20"/>
        </ext>
      </extLst>
    </cacheHierarchy>
    <cacheHierarchy uniqueName="[Measures].[Sum of ID]" caption="Sum of ID" measure="1" displayFolder="" measureGroup="Game_Number" count="0" hidden="1">
      <extLst>
        <ext xmlns:x15="http://schemas.microsoft.com/office/spreadsheetml/2010/11/main" uri="{B97F6D7D-B522-45F9-BDA1-12C45D357490}">
          <x15:cacheHierarchy aggregatedColumn="0"/>
        </ext>
      </extLst>
    </cacheHierarchy>
    <cacheHierarchy uniqueName="[Measures].[Count of Host]" caption="Count of Host" measure="1" displayFolder="" measureGroup="Game_Number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Count of FullName]" caption="Count of FullName" measure="1" displayFolder="" measureGroup="Players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</cacheHierarchies>
  <kpis count="0"/>
  <dimensions count="8">
    <dimension name="Game_Number" uniqueName="[Game_Number]" caption="Game_Number"/>
    <dimension measure="1" name="Measures" uniqueName="[Measures]" caption="Measures"/>
    <dimension name="Player_Game_Stats" uniqueName="[Player_Game_Stats]" caption="Player_Game_Stats"/>
    <dimension name="Players" uniqueName="[Players]" caption="Players"/>
    <dimension name="qry_Player_Cash_Out" uniqueName="[qry_Player_Cash_Out]" caption="qry_Player_Cash_Out"/>
    <dimension name="qry_Player_Stats" uniqueName="[qry_Player_Stats]" caption="qry_Player_Stats"/>
    <dimension name="Structure" uniqueName="[Structure]" caption="Structure"/>
    <dimension name="Structure_Levels" uniqueName="[Structure_Levels]" caption="Structure_Levels"/>
  </dimensions>
  <measureGroups count="7">
    <measureGroup name="Game_Number" caption="Game_Number"/>
    <measureGroup name="Player_Game_Stats" caption="Player_Game_Stats"/>
    <measureGroup name="Players" caption="Players"/>
    <measureGroup name="qry_Player_Cash_Out" caption="qry_Player_Cash_Out"/>
    <measureGroup name="qry_Player_Stats" caption="qry_Player_Stats"/>
    <measureGroup name="Structure" caption="Structure"/>
    <measureGroup name="Structure_Levels" caption="Structure_Levels"/>
  </measureGroups>
  <maps count="14">
    <map measureGroup="0" dimension="0"/>
    <map measureGroup="0" dimension="6"/>
    <map measureGroup="1" dimension="0"/>
    <map measureGroup="1" dimension="2"/>
    <map measureGroup="1" dimension="3"/>
    <map measureGroup="1" dimension="6"/>
    <map measureGroup="2" dimension="3"/>
    <map measureGroup="3" dimension="0"/>
    <map measureGroup="3" dimension="4"/>
    <map measureGroup="3" dimension="6"/>
    <map measureGroup="4" dimension="5"/>
    <map measureGroup="5" dimension="6"/>
    <map measureGroup="6" dimension="6"/>
    <map measureGroup="6" dimension="7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Ciaran Lynch" refreshedDate="46012.557867361109" backgroundQuery="1" createdVersion="8" refreshedVersion="8" minRefreshableVersion="3" recordCount="0" supportSubquery="1" supportAdvancedDrill="1" xr:uid="{3BF8C822-357A-44C8-BD4B-03AF20DD51B6}">
  <cacheSource type="external" connectionId="11"/>
  <cacheFields count="2">
    <cacheField name="[Player_Game_Stats].[Players.FullName].[Players.FullName]" caption="Players.FullName" numFmtId="0" hierarchy="10" level="1">
      <sharedItems count="10">
        <s v="Barry Hunter"/>
        <s v="Brendan Stevenson"/>
        <s v="Ciaran Lynch"/>
        <s v="Kevin Lee"/>
        <s v="Mark Hunter"/>
        <s v="Martin Hunter"/>
        <s v="Morgan Mooney"/>
        <s v="Ryan **"/>
        <s v="Seamus Diver"/>
        <s v="Steven Black"/>
      </sharedItems>
    </cacheField>
    <cacheField name="[Measures].[Sum of ROI]" caption="Sum of ROI" numFmtId="0" hierarchy="47" level="32767"/>
  </cacheFields>
  <cacheHierarchies count="56">
    <cacheHierarchy uniqueName="[Game_Number].[ID]" caption="ID" attribute="1" defaultMemberUniqueName="[Game_Number].[ID].[All]" allUniqueName="[Game_Number].[ID].[All]" dimensionUniqueName="[Game_Number]" displayFolder="" count="0" memberValueDatatype="20" unbalanced="0"/>
    <cacheHierarchy uniqueName="[Game_Number].[Game_Date]" caption="Game_Date" attribute="1" time="1" defaultMemberUniqueName="[Game_Number].[Game_Date].[All]" allUniqueName="[Game_Number].[Game_Date].[All]" dimensionUniqueName="[Game_Number]" displayFolder="" count="0" memberValueDatatype="7" unbalanced="0"/>
    <cacheHierarchy uniqueName="[Game_Number].[Host]" caption="Host" attribute="1" defaultMemberUniqueName="[Game_Number].[Host].[All]" allUniqueName="[Game_Number].[Host].[All]" dimensionUniqueName="[Game_Number]" displayFolder="" count="0" memberValueDatatype="20" unbalanced="0"/>
    <cacheHierarchy uniqueName="[Game_Number].[Structure_ID]" caption="Structure_ID" attribute="1" defaultMemberUniqueName="[Game_Number].[Structure_ID].[All]" allUniqueName="[Game_Number].[Structure_ID].[All]" dimensionUniqueName="[Game_Number]" displayFolder="" count="0" memberValueDatatype="20" unbalanced="0"/>
    <cacheHierarchy uniqueName="[Game_Number].[Players.FullName]" caption="Players.FullName" attribute="1" defaultMemberUniqueName="[Game_Number].[Players.FullName].[All]" allUniqueName="[Game_Number].[Players.FullName].[All]" dimensionUniqueName="[Game_Number]" displayFolder="" count="0" memberValueDatatype="130" unbalanced="0"/>
    <cacheHierarchy uniqueName="[Player_Game_Stats].[Game_Number]" caption="Game_Number" attribute="1" defaultMemberUniqueName="[Player_Game_Stats].[Game_Number].[All]" allUniqueName="[Player_Game_Stats].[Game_Number].[All]" dimensionUniqueName="[Player_Game_Stats]" displayFolder="" count="0" memberValueDatatype="20" unbalanced="0"/>
    <cacheHierarchy uniqueName="[Player_Game_Stats].[PlayerNo]" caption="PlayerNo" attribute="1" defaultMemberUniqueName="[Player_Game_Stats].[PlayerNo].[All]" allUniqueName="[Player_Game_Stats].[PlayerNo].[All]" dimensionUniqueName="[Player_Game_Stats]" displayFolder="" count="0" memberValueDatatype="20" unbalanced="0"/>
    <cacheHierarchy uniqueName="[Player_Game_Stats].[BuyIn]" caption="BuyIn" attribute="1" defaultMemberUniqueName="[Player_Game_Stats].[BuyIn].[All]" allUniqueName="[Player_Game_Stats].[BuyIn].[All]" dimensionUniqueName="[Player_Game_Stats]" displayFolder="" count="0" memberValueDatatype="5" unbalanced="0"/>
    <cacheHierarchy uniqueName="[Player_Game_Stats].[Rebuy]" caption="Rebuy" attribute="1" defaultMemberUniqueName="[Player_Game_Stats].[Rebuy].[All]" allUniqueName="[Player_Game_Stats].[Rebuy].[All]" dimensionUniqueName="[Player_Game_Stats]" displayFolder="" count="0" memberValueDatatype="5" unbalanced="0"/>
    <cacheHierarchy uniqueName="[Player_Game_Stats].[CashOut]" caption="CashOut" attribute="1" defaultMemberUniqueName="[Player_Game_Stats].[CashOut].[All]" allUniqueName="[Player_Game_Stats].[CashOut].[All]" dimensionUniqueName="[Player_Game_Stats]" displayFolder="" count="0" memberValueDatatype="5" unbalanced="0"/>
    <cacheHierarchy uniqueName="[Player_Game_Stats].[Players.FullName]" caption="Players.FullName" attribute="1" defaultMemberUniqueName="[Player_Game_Stats].[Players.FullName].[All]" allUniqueName="[Player_Game_Stats].[Players.FullName].[All]" dimensionUniqueName="[Player_Game_Stats]" displayFolder="" count="2" memberValueDatatype="130" unbalanced="0">
      <fieldsUsage count="2">
        <fieldUsage x="-1"/>
        <fieldUsage x="0"/>
      </fieldsUsage>
    </cacheHierarchy>
    <cacheHierarchy uniqueName="[Player_Game_Stats].[ROI]" caption="ROI" attribute="1" defaultMemberUniqueName="[Player_Game_Stats].[ROI].[All]" allUniqueName="[Player_Game_Stats].[ROI].[All]" dimensionUniqueName="[Player_Game_Stats]" displayFolder="" count="0" memberValueDatatype="5" unbalanced="0"/>
    <cacheHierarchy uniqueName="[Player_Game_Stats].[League Points]" caption="League Points" attribute="1" defaultMemberUniqueName="[Player_Game_Stats].[League Points].[All]" allUniqueName="[Player_Game_Stats].[League Points].[All]" dimensionUniqueName="[Player_Game_Stats]" displayFolder="" count="0" memberValueDatatype="5" unbalanced="0"/>
    <cacheHierarchy uniqueName="[Players].[PlayerNo]" caption="PlayerNo" attribute="1" defaultMemberUniqueName="[Players].[PlayerNo].[All]" allUniqueName="[Players].[PlayerNo].[All]" dimensionUniqueName="[Players]" displayFolder="" count="0" memberValueDatatype="20" unbalanced="0"/>
    <cacheHierarchy uniqueName="[Players].[FullName]" caption="FullName" attribute="1" defaultMemberUniqueName="[Players].[FullName].[All]" allUniqueName="[Players].[FullName].[All]" dimensionUniqueName="[Players]" displayFolder="" count="0" memberValueDatatype="130" unbalanced="0"/>
    <cacheHierarchy uniqueName="[qry_Player_Cash_Out].[Game_Number]" caption="Game_Number" attribute="1" defaultMemberUniqueName="[qry_Player_Cash_Out].[Game_Number].[All]" allUniqueName="[qry_Player_Cash_Out].[Game_Number].[All]" dimensionUniqueName="[qry_Player_Cash_Out]" displayFolder="" count="0" memberValueDatatype="20" unbalanced="0"/>
    <cacheHierarchy uniqueName="[qry_Player_Cash_Out].[PlayerNo]" caption="PlayerNo" attribute="1" defaultMemberUniqueName="[qry_Player_Cash_Out].[PlayerNo].[All]" allUniqueName="[qry_Player_Cash_Out].[PlayerNo].[All]" dimensionUniqueName="[qry_Player_Cash_Out]" displayFolder="" count="0" memberValueDatatype="20" unbalanced="0"/>
    <cacheHierarchy uniqueName="[qry_Player_Cash_Out].[FullName]" caption="FullName" attribute="1" defaultMemberUniqueName="[qry_Player_Cash_Out].[FullName].[All]" allUniqueName="[qry_Player_Cash_Out].[FullName].[All]" dimensionUniqueName="[qry_Player_Cash_Out]" displayFolder="" count="0" memberValueDatatype="130" unbalanced="0"/>
    <cacheHierarchy uniqueName="[qry_Player_Cash_Out].[BuyIn]" caption="BuyIn" attribute="1" defaultMemberUniqueName="[qry_Player_Cash_Out].[BuyIn].[All]" allUniqueName="[qry_Player_Cash_Out].[BuyIn].[All]" dimensionUniqueName="[qry_Player_Cash_Out]" displayFolder="" count="0" memberValueDatatype="5" unbalanced="0"/>
    <cacheHierarchy uniqueName="[qry_Player_Cash_Out].[Rebuy]" caption="Rebuy" attribute="1" defaultMemberUniqueName="[qry_Player_Cash_Out].[Rebuy].[All]" allUniqueName="[qry_Player_Cash_Out].[Rebuy].[All]" dimensionUniqueName="[qry_Player_Cash_Out]" displayFolder="" count="0" memberValueDatatype="5" unbalanced="0"/>
    <cacheHierarchy uniqueName="[qry_Player_Cash_Out].[Total Cost]" caption="Total Cost" attribute="1" defaultMemberUniqueName="[qry_Player_Cash_Out].[Total Cost].[All]" allUniqueName="[qry_Player_Cash_Out].[Total Cost].[All]" dimensionUniqueName="[qry_Player_Cash_Out]" displayFolder="" count="0" memberValueDatatype="5" unbalanced="0"/>
    <cacheHierarchy uniqueName="[qry_Player_Cash_Out].[CashOut]" caption="CashOut" attribute="1" defaultMemberUniqueName="[qry_Player_Cash_Out].[CashOut].[All]" allUniqueName="[qry_Player_Cash_Out].[CashOut].[All]" dimensionUniqueName="[qry_Player_Cash_Out]" displayFolder="" count="0" memberValueDatatype="5" unbalanced="0"/>
    <cacheHierarchy uniqueName="[qry_Player_Cash_Out].[Profit]" caption="Profit" attribute="1" defaultMemberUniqueName="[qry_Player_Cash_Out].[Profit].[All]" allUniqueName="[qry_Player_Cash_Out].[Profit].[All]" dimensionUniqueName="[qry_Player_Cash_Out]" displayFolder="" count="0" memberValueDatatype="5" unbalanced="0"/>
    <cacheHierarchy uniqueName="[qry_Player_Stats].[Game_Number]" caption="Game_Number" attribute="1" defaultMemberUniqueName="[qry_Player_Stats].[Game_Number].[All]" allUniqueName="[qry_Player_Stats].[Game_Number].[All]" dimensionUniqueName="[qry_Player_Stats]" displayFolder="" count="0" memberValueDatatype="20" unbalanced="0"/>
    <cacheHierarchy uniqueName="[qry_Player_Stats].[PlayerNo]" caption="PlayerNo" attribute="1" defaultMemberUniqueName="[qry_Player_Stats].[PlayerNo].[All]" allUniqueName="[qry_Player_Stats].[PlayerNo].[All]" dimensionUniqueName="[qry_Player_Stats]" displayFolder="" count="0" memberValueDatatype="20" unbalanced="0"/>
    <cacheHierarchy uniqueName="[qry_Player_Stats].[BuyIn]" caption="BuyIn" attribute="1" defaultMemberUniqueName="[qry_Player_Stats].[BuyIn].[All]" allUniqueName="[qry_Player_Stats].[BuyIn].[All]" dimensionUniqueName="[qry_Player_Stats]" displayFolder="" count="0" memberValueDatatype="5" unbalanced="0"/>
    <cacheHierarchy uniqueName="[qry_Player_Stats].[Rebuy]" caption="Rebuy" attribute="1" defaultMemberUniqueName="[qry_Player_Stats].[Rebuy].[All]" allUniqueName="[qry_Player_Stats].[Rebuy].[All]" dimensionUniqueName="[qry_Player_Stats]" displayFolder="" count="0" memberValueDatatype="5" unbalanced="0"/>
    <cacheHierarchy uniqueName="[qry_Player_Stats].[CashOut]" caption="CashOut" attribute="1" defaultMemberUniqueName="[qry_Player_Stats].[CashOut].[All]" allUniqueName="[qry_Player_Stats].[CashOut].[All]" dimensionUniqueName="[qry_Player_Stats]" displayFolder="" count="0" memberValueDatatype="5" unbalanced="0"/>
    <cacheHierarchy uniqueName="[Structure].[Structure_ID]" caption="Structure_ID" attribute="1" defaultMemberUniqueName="[Structure].[Structure_ID].[All]" allUniqueName="[Structure].[Structure_ID].[All]" dimensionUniqueName="[Structure]" displayFolder="" count="0" memberValueDatatype="20" unbalanced="0"/>
    <cacheHierarchy uniqueName="[Structure].[StructureName]" caption="StructureName" attribute="1" defaultMemberUniqueName="[Structure].[StructureName].[All]" allUniqueName="[Structure].[StructureName].[All]" dimensionUniqueName="[Structure]" displayFolder="" count="0" memberValueDatatype="130" unbalanced="0"/>
    <cacheHierarchy uniqueName="[Structure].[GameType]" caption="GameType" attribute="1" defaultMemberUniqueName="[Structure].[GameType].[All]" allUniqueName="[Structure].[GameType].[All]" dimensionUniqueName="[Structure]" displayFolder="" count="0" memberValueDatatype="130" unbalanced="0"/>
    <cacheHierarchy uniqueName="[Structure_Levels].[LevelID]" caption="LevelID" attribute="1" defaultMemberUniqueName="[Structure_Levels].[LevelID].[All]" allUniqueName="[Structure_Levels].[LevelID].[All]" dimensionUniqueName="[Structure_Levels]" displayFolder="" count="0" memberValueDatatype="20" unbalanced="0"/>
    <cacheHierarchy uniqueName="[Structure_Levels].[Structure_ID]" caption="Structure_ID" attribute="1" defaultMemberUniqueName="[Structure_Levels].[Structure_ID].[All]" allUniqueName="[Structure_Levels].[Structure_ID].[All]" dimensionUniqueName="[Structure_Levels]" displayFolder="" count="0" memberValueDatatype="20" unbalanced="0"/>
    <cacheHierarchy uniqueName="[Structure_Levels].[LevelName]" caption="LevelName" attribute="1" defaultMemberUniqueName="[Structure_Levels].[LevelName].[All]" allUniqueName="[Structure_Levels].[LevelName].[All]" dimensionUniqueName="[Structure_Levels]" displayFolder="" count="0" memberValueDatatype="130" unbalanced="0"/>
    <cacheHierarchy uniqueName="[Structure_Levels].[Level_Small_Blind]" caption="Level_Small_Blind" attribute="1" defaultMemberUniqueName="[Structure_Levels].[Level_Small_Blind].[All]" allUniqueName="[Structure_Levels].[Level_Small_Blind].[All]" dimensionUniqueName="[Structure_Levels]" displayFolder="" count="0" memberValueDatatype="130" unbalanced="0"/>
    <cacheHierarchy uniqueName="[Structure_Levels].[Level_Big_Blind]" caption="Level_Big_Blind" attribute="1" defaultMemberUniqueName="[Structure_Levels].[Level_Big_Blind].[All]" allUniqueName="[Structure_Levels].[Level_Big_Blind].[All]" dimensionUniqueName="[Structure_Levels]" displayFolder="" count="0" memberValueDatatype="130" unbalanced="0"/>
    <cacheHierarchy uniqueName="[Structure_Levels].[Level_Time]" caption="Level_Time" attribute="1" time="1" defaultMemberUniqueName="[Structure_Levels].[Level_Time].[All]" allUniqueName="[Structure_Levels].[Level_Time].[All]" dimensionUniqueName="[Structure_Levels]" displayFolder="" count="0" memberValueDatatype="7" unbalanced="0"/>
    <cacheHierarchy uniqueName="[Structure_Levels].[Comment]" caption="Comment" attribute="1" defaultMemberUniqueName="[Structure_Levels].[Comment].[All]" allUniqueName="[Structure_Levels].[Comment].[All]" dimensionUniqueName="[Structure_Levels]" displayFolder="" count="0" memberValueDatatype="130" unbalanced="0"/>
    <cacheHierarchy uniqueName="[Measures].[__XL_Count Players]" caption="__XL_Count Players" measure="1" displayFolder="" measureGroup="Players" count="0" hidden="1"/>
    <cacheHierarchy uniqueName="[Measures].[__XL_Count Player_Game_Stats]" caption="__XL_Count Player_Game_Stats" measure="1" displayFolder="" measureGroup="Player_Game_Stats" count="0" hidden="1"/>
    <cacheHierarchy uniqueName="[Measures].[__XL_Count Game_Number]" caption="__XL_Count Game_Number" measure="1" displayFolder="" measureGroup="Game_Number" count="0" hidden="1"/>
    <cacheHierarchy uniqueName="[Measures].[__XL_Count Structure]" caption="__XL_Count Structure" measure="1" displayFolder="" measureGroup="Structure" count="0" hidden="1"/>
    <cacheHierarchy uniqueName="[Measures].[__XL_Count Structure_Levels]" caption="__XL_Count Structure_Levels" measure="1" displayFolder="" measureGroup="Structure_Levels" count="0" hidden="1"/>
    <cacheHierarchy uniqueName="[Measures].[__XL_Count qry_Player_Cash_Out]" caption="__XL_Count qry_Player_Cash_Out" measure="1" displayFolder="" measureGroup="qry_Player_Cash_Out" count="0" hidden="1"/>
    <cacheHierarchy uniqueName="[Measures].[__XL_Count qry_Player_Stats]" caption="__XL_Count qry_Player_Stats" measure="1" displayFolder="" measureGroup="qry_Player_Stats" count="0" hidden="1"/>
    <cacheHierarchy uniqueName="[Measures].[__No measures defined]" caption="__No measures defined" measure="1" displayFolder="" count="0" hidden="1"/>
    <cacheHierarchy uniqueName="[Measures].[Sum of CashOut]" caption="Sum of CashOut" measure="1" displayFolder="" measureGroup="Player_Game_Stats" count="0" hidden="1">
      <extLst>
        <ext xmlns:x15="http://schemas.microsoft.com/office/spreadsheetml/2010/11/main" uri="{B97F6D7D-B522-45F9-BDA1-12C45D357490}">
          <x15:cacheHierarchy aggregatedColumn="9"/>
        </ext>
      </extLst>
    </cacheHierarchy>
    <cacheHierarchy uniqueName="[Measures].[Sum of ROI]" caption="Sum of ROI" measure="1" displayFolder="" measureGroup="Player_Game_Stats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11"/>
        </ext>
      </extLst>
    </cacheHierarchy>
    <cacheHierarchy uniqueName="[Measures].[Sum of BuyIn]" caption="Sum of BuyIn" measure="1" displayFolder="" measureGroup="Player_Game_Stats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Rebuy]" caption="Sum of Rebuy" measure="1" displayFolder="" measureGroup="Player_Game_Stats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Count of League Points]" caption="Count of League Points" measure="1" displayFolder="" measureGroup="Player_Game_Stats" count="0" hidden="1">
      <extLst>
        <ext xmlns:x15="http://schemas.microsoft.com/office/spreadsheetml/2010/11/main" uri="{B97F6D7D-B522-45F9-BDA1-12C45D357490}">
          <x15:cacheHierarchy aggregatedColumn="12"/>
        </ext>
      </extLst>
    </cacheHierarchy>
    <cacheHierarchy uniqueName="[Measures].[Sum of League Points]" caption="Sum of League Points" measure="1" displayFolder="" measureGroup="Player_Game_Stats" count="0" hidden="1">
      <extLst>
        <ext xmlns:x15="http://schemas.microsoft.com/office/spreadsheetml/2010/11/main" uri="{B97F6D7D-B522-45F9-BDA1-12C45D357490}">
          <x15:cacheHierarchy aggregatedColumn="12"/>
        </ext>
      </extLst>
    </cacheHierarchy>
    <cacheHierarchy uniqueName="[Measures].[Sum of Total Cost]" caption="Sum of Total Cost" measure="1" displayFolder="" measureGroup="qry_Player_Cash_Out" count="0" hidden="1">
      <extLst>
        <ext xmlns:x15="http://schemas.microsoft.com/office/spreadsheetml/2010/11/main" uri="{B97F6D7D-B522-45F9-BDA1-12C45D357490}">
          <x15:cacheHierarchy aggregatedColumn="20"/>
        </ext>
      </extLst>
    </cacheHierarchy>
    <cacheHierarchy uniqueName="[Measures].[Sum of ID]" caption="Sum of ID" measure="1" displayFolder="" measureGroup="Game_Number" count="0" hidden="1">
      <extLst>
        <ext xmlns:x15="http://schemas.microsoft.com/office/spreadsheetml/2010/11/main" uri="{B97F6D7D-B522-45F9-BDA1-12C45D357490}">
          <x15:cacheHierarchy aggregatedColumn="0"/>
        </ext>
      </extLst>
    </cacheHierarchy>
    <cacheHierarchy uniqueName="[Measures].[Count of Host]" caption="Count of Host" measure="1" displayFolder="" measureGroup="Game_Number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Count of FullName]" caption="Count of FullName" measure="1" displayFolder="" measureGroup="Players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</cacheHierarchies>
  <kpis count="0"/>
  <dimensions count="8">
    <dimension name="Game_Number" uniqueName="[Game_Number]" caption="Game_Number"/>
    <dimension measure="1" name="Measures" uniqueName="[Measures]" caption="Measures"/>
    <dimension name="Player_Game_Stats" uniqueName="[Player_Game_Stats]" caption="Player_Game_Stats"/>
    <dimension name="Players" uniqueName="[Players]" caption="Players"/>
    <dimension name="qry_Player_Cash_Out" uniqueName="[qry_Player_Cash_Out]" caption="qry_Player_Cash_Out"/>
    <dimension name="qry_Player_Stats" uniqueName="[qry_Player_Stats]" caption="qry_Player_Stats"/>
    <dimension name="Structure" uniqueName="[Structure]" caption="Structure"/>
    <dimension name="Structure_Levels" uniqueName="[Structure_Levels]" caption="Structure_Levels"/>
  </dimensions>
  <measureGroups count="7">
    <measureGroup name="Game_Number" caption="Game_Number"/>
    <measureGroup name="Player_Game_Stats" caption="Player_Game_Stats"/>
    <measureGroup name="Players" caption="Players"/>
    <measureGroup name="qry_Player_Cash_Out" caption="qry_Player_Cash_Out"/>
    <measureGroup name="qry_Player_Stats" caption="qry_Player_Stats"/>
    <measureGroup name="Structure" caption="Structure"/>
    <measureGroup name="Structure_Levels" caption="Structure_Levels"/>
  </measureGroups>
  <maps count="14">
    <map measureGroup="0" dimension="0"/>
    <map measureGroup="0" dimension="6"/>
    <map measureGroup="1" dimension="0"/>
    <map measureGroup="1" dimension="2"/>
    <map measureGroup="1" dimension="3"/>
    <map measureGroup="1" dimension="6"/>
    <map measureGroup="2" dimension="3"/>
    <map measureGroup="3" dimension="0"/>
    <map measureGroup="3" dimension="4"/>
    <map measureGroup="3" dimension="6"/>
    <map measureGroup="4" dimension="5"/>
    <map measureGroup="5" dimension="6"/>
    <map measureGroup="6" dimension="6"/>
    <map measureGroup="6" dimension="7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">
  <r>
    <n v="1"/>
    <d v="2025-01-24T00:00:00"/>
    <n v="6"/>
    <n v="1"/>
    <x v="0"/>
  </r>
  <r>
    <n v="7"/>
    <d v="2025-12-19T00:00:00"/>
    <n v="6"/>
    <n v="1"/>
    <x v="0"/>
  </r>
  <r>
    <n v="2"/>
    <d v="2025-02-21T00:00:00"/>
    <n v="1"/>
    <n v="1"/>
    <x v="1"/>
  </r>
  <r>
    <n v="6"/>
    <d v="2025-11-21T00:00:00"/>
    <n v="1"/>
    <n v="1"/>
    <x v="1"/>
  </r>
  <r>
    <n v="3"/>
    <d v="2025-03-14T00:00:00"/>
    <n v="4"/>
    <n v="1"/>
    <x v="2"/>
  </r>
  <r>
    <n v="4"/>
    <d v="2025-04-18T00:00:00"/>
    <n v="5"/>
    <n v="1"/>
    <x v="3"/>
  </r>
  <r>
    <n v="5"/>
    <d v="2025-10-24T00:00:00"/>
    <n v="5"/>
    <n v="1"/>
    <x v="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6FB89D5-21CA-40A5-AADA-2B94618C138F}" name="PivotTable1" cacheId="2" applyNumberFormats="0" applyBorderFormats="0" applyFontFormats="0" applyPatternFormats="0" applyAlignmentFormats="0" applyWidthHeightFormats="1" dataCaption="Values" tag="49afd987-fdeb-4e59-b2ff-30100aec4f64" updatedVersion="8" minRefreshableVersion="3" useAutoFormatting="1" subtotalHiddenItems="1" itemPrintTitles="1" createdVersion="8" indent="0" outline="1" outlineData="1" multipleFieldFilters="0" chartFormat="10">
  <location ref="A1:B12" firstHeaderRow="1" firstDataRow="1" firstDataCol="1"/>
  <pivotFields count="2">
    <pivotField axis="axisRow" allDrilled="1" subtotalTop="0" showAll="0" sortType="descending" defaultSubtotal="0" defaultAttributeDrillState="1">
      <items count="10">
        <item x="0"/>
        <item x="1"/>
        <item x="2"/>
        <item x="3"/>
        <item x="4"/>
        <item x="5"/>
        <item x="6"/>
        <item x="7"/>
        <item x="8"/>
        <item x="9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dataField="1" subtotalTop="0" showAll="0" defaultSubtotal="0"/>
  </pivotFields>
  <rowFields count="1">
    <field x="0"/>
  </rowFields>
  <rowItems count="11">
    <i>
      <x v="3"/>
    </i>
    <i>
      <x v="5"/>
    </i>
    <i>
      <x v="1"/>
    </i>
    <i>
      <x v="6"/>
    </i>
    <i>
      <x/>
    </i>
    <i>
      <x v="2"/>
    </i>
    <i>
      <x v="8"/>
    </i>
    <i>
      <x v="4"/>
    </i>
    <i>
      <x v="9"/>
    </i>
    <i>
      <x v="7"/>
    </i>
    <i t="grand">
      <x/>
    </i>
  </rowItems>
  <colItems count="1">
    <i/>
  </colItems>
  <dataFields count="1">
    <dataField name="Sum of League Points" fld="1" baseField="0" baseItem="0" numFmtId="1"/>
  </dataFields>
  <formats count="25">
    <format dxfId="52">
      <pivotArea type="all" dataOnly="0" outline="0" fieldPosition="0"/>
    </format>
    <format dxfId="51">
      <pivotArea outline="0" collapsedLevelsAreSubtotals="1" fieldPosition="0"/>
    </format>
    <format dxfId="50">
      <pivotArea field="0" type="button" dataOnly="0" labelOnly="1" outline="0" axis="axisRow" fieldPosition="0"/>
    </format>
    <format dxfId="49">
      <pivotArea dataOnly="0" labelOnly="1" fieldPosition="0">
        <references count="1">
          <reference field="0" count="0"/>
        </references>
      </pivotArea>
    </format>
    <format dxfId="48">
      <pivotArea dataOnly="0" labelOnly="1" grandRow="1" outline="0" fieldPosition="0"/>
    </format>
    <format dxfId="47">
      <pivotArea dataOnly="0" labelOnly="1" outline="0" axis="axisValues" fieldPosition="0"/>
    </format>
    <format dxfId="46">
      <pivotArea type="all" dataOnly="0" outline="0" fieldPosition="0"/>
    </format>
    <format dxfId="45">
      <pivotArea outline="0" collapsedLevelsAreSubtotals="1" fieldPosition="0"/>
    </format>
    <format dxfId="44">
      <pivotArea field="0" type="button" dataOnly="0" labelOnly="1" outline="0" axis="axisRow" fieldPosition="0"/>
    </format>
    <format dxfId="43">
      <pivotArea dataOnly="0" labelOnly="1" fieldPosition="0">
        <references count="1">
          <reference field="0" count="0"/>
        </references>
      </pivotArea>
    </format>
    <format dxfId="42">
      <pivotArea dataOnly="0" labelOnly="1" grandRow="1" outline="0" fieldPosition="0"/>
    </format>
    <format dxfId="41">
      <pivotArea dataOnly="0" labelOnly="1" outline="0" axis="axisValues" fieldPosition="0"/>
    </format>
    <format dxfId="40">
      <pivotArea type="all" dataOnly="0" outline="0" fieldPosition="0"/>
    </format>
    <format dxfId="39">
      <pivotArea outline="0" collapsedLevelsAreSubtotals="1" fieldPosition="0"/>
    </format>
    <format dxfId="38">
      <pivotArea field="0" type="button" dataOnly="0" labelOnly="1" outline="0" axis="axisRow" fieldPosition="0"/>
    </format>
    <format dxfId="37">
      <pivotArea dataOnly="0" labelOnly="1" fieldPosition="0">
        <references count="1">
          <reference field="0" count="0"/>
        </references>
      </pivotArea>
    </format>
    <format dxfId="36">
      <pivotArea dataOnly="0" labelOnly="1" grandRow="1" outline="0" fieldPosition="0"/>
    </format>
    <format dxfId="35">
      <pivotArea dataOnly="0" labelOnly="1" outline="0" axis="axisValues" fieldPosition="0"/>
    </format>
    <format dxfId="34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33">
      <pivotArea type="all" dataOnly="0" outline="0" fieldPosition="0"/>
    </format>
    <format dxfId="32">
      <pivotArea outline="0" collapsedLevelsAreSubtotals="1" fieldPosition="0"/>
    </format>
    <format dxfId="31">
      <pivotArea field="0" type="button" dataOnly="0" labelOnly="1" outline="0" axis="axisRow" fieldPosition="0"/>
    </format>
    <format dxfId="30">
      <pivotArea dataOnly="0" labelOnly="1" fieldPosition="0">
        <references count="1">
          <reference field="0" count="0"/>
        </references>
      </pivotArea>
    </format>
    <format dxfId="29">
      <pivotArea dataOnly="0" labelOnly="1" grandRow="1" outline="0" fieldPosition="0"/>
    </format>
    <format dxfId="28">
      <pivotArea dataOnly="0" labelOnly="1" outline="0" axis="axisValues" fieldPosition="0"/>
    </format>
  </formats>
  <chartFormats count="1">
    <chartFormat chart="7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Hierarchies count="56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 caption="Sum of League Points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10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Player_Game_Stat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7A68CBD-D39D-446E-94FD-A2C83D8C4CA4}" name="PivotTable1" cacheId="3" applyNumberFormats="0" applyBorderFormats="0" applyFontFormats="0" applyPatternFormats="0" applyAlignmentFormats="0" applyWidthHeightFormats="1" dataCaption="Values" tag="de8b2bb4-e193-49dd-a7ac-1677f0ba3d01" updatedVersion="8" minRefreshableVersion="3" useAutoFormatting="1" itemPrintTitles="1" createdVersion="8" indent="0" outline="1" outlineData="1" multipleFieldFilters="0" chartFormat="5">
  <location ref="A1:B12" firstHeaderRow="1" firstDataRow="1" firstDataCol="1"/>
  <pivotFields count="2">
    <pivotField axis="axisRow" allDrilled="1" subtotalTop="0" showAll="0" sortType="descending" defaultSubtotal="0" defaultAttributeDrillState="1">
      <items count="10">
        <item x="0"/>
        <item x="1"/>
        <item x="2"/>
        <item x="3"/>
        <item x="4"/>
        <item x="5"/>
        <item x="6"/>
        <item x="7"/>
        <item x="8"/>
        <item x="9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dataField="1" subtotalTop="0" showAll="0" defaultSubtotal="0"/>
  </pivotFields>
  <rowFields count="1">
    <field x="0"/>
  </rowFields>
  <rowItems count="11">
    <i>
      <x v="5"/>
    </i>
    <i>
      <x v="2"/>
    </i>
    <i>
      <x v="3"/>
    </i>
    <i>
      <x v="1"/>
    </i>
    <i>
      <x v="8"/>
    </i>
    <i>
      <x v="7"/>
    </i>
    <i>
      <x v="4"/>
    </i>
    <i>
      <x/>
    </i>
    <i>
      <x v="9"/>
    </i>
    <i>
      <x v="6"/>
    </i>
    <i t="grand">
      <x/>
    </i>
  </rowItems>
  <colItems count="1">
    <i/>
  </colItems>
  <dataFields count="1">
    <dataField name="Sum of ROI" fld="1" baseField="0" baseItem="0"/>
  </dataFields>
  <formats count="7">
    <format dxfId="27">
      <pivotArea collapsedLevelsAreSubtotals="1" fieldPosition="0">
        <references count="1">
          <reference field="0" count="0"/>
        </references>
      </pivotArea>
    </format>
    <format dxfId="26">
      <pivotArea type="all" dataOnly="0" outline="0" fieldPosition="0"/>
    </format>
    <format dxfId="25">
      <pivotArea outline="0" collapsedLevelsAreSubtotals="1" fieldPosition="0"/>
    </format>
    <format dxfId="24">
      <pivotArea field="0" type="button" dataOnly="0" labelOnly="1" outline="0" axis="axisRow" fieldPosition="0"/>
    </format>
    <format dxfId="23">
      <pivotArea dataOnly="0" labelOnly="1" fieldPosition="0">
        <references count="1">
          <reference field="0" count="0"/>
        </references>
      </pivotArea>
    </format>
    <format dxfId="22">
      <pivotArea dataOnly="0" labelOnly="1" grandRow="1" outline="0" fieldPosition="0"/>
    </format>
    <format dxfId="21">
      <pivotArea dataOnly="0" labelOnly="1" outline="0" axis="axisValues" fieldPosition="0"/>
    </format>
  </format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Hierarchies count="56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10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Player_Game_Stat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602EC69-FEF4-4C22-9D2D-2F22902C18EF}" name="PivotTable2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9">
  <location ref="I3:J8" firstHeaderRow="1" firstDataRow="1" firstDataCol="1"/>
  <pivotFields count="5">
    <pivotField showAll="0"/>
    <pivotField numFmtId="14" showAll="0"/>
    <pivotField dataField="1" showAll="0"/>
    <pivotField showAll="0"/>
    <pivotField axis="axisRow" showAll="0" sortType="descending">
      <items count="5">
        <item x="0"/>
        <item x="1"/>
        <item x="3"/>
        <item x="2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</pivotFields>
  <rowFields count="1">
    <field x="4"/>
  </rowFields>
  <rowItems count="5">
    <i>
      <x/>
    </i>
    <i>
      <x v="2"/>
    </i>
    <i>
      <x v="1"/>
    </i>
    <i>
      <x v="3"/>
    </i>
    <i t="grand">
      <x/>
    </i>
  </rowItems>
  <colItems count="1">
    <i/>
  </colItems>
  <dataFields count="1">
    <dataField name="Count of Host" fld="2" subtotal="count" baseField="4" baseItem="0"/>
  </dataFields>
  <chartFormats count="5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0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F87D0F8-492B-40B3-ADAC-A575DBE02C87}" name="PivotTable2" cacheId="1" applyNumberFormats="0" applyBorderFormats="0" applyFontFormats="0" applyPatternFormats="0" applyAlignmentFormats="0" applyWidthHeightFormats="1" dataCaption="Values" tag="1efcae0b-bcbf-4177-9088-f1fc69fb5693" updatedVersion="8" minRefreshableVersion="3" useAutoFormatting="1" itemPrintTitles="1" createdVersion="8" indent="0" outline="1" outlineData="1" multipleFieldFilters="0" chartFormat="5">
  <location ref="A1:B12" firstHeaderRow="1" firstDataRow="1" firstDataCol="1"/>
  <pivotFields count="2">
    <pivotField axis="axisRow" allDrilled="1" subtotalTop="0" showAll="0" sortType="descending" defaultSubtotal="0" defaultAttributeDrillState="1">
      <items count="10">
        <item x="0"/>
        <item x="1"/>
        <item x="2"/>
        <item x="3"/>
        <item x="4"/>
        <item x="5"/>
        <item x="6"/>
        <item x="7"/>
        <item x="8"/>
        <item x="9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dataField="1" subtotalTop="0" showAll="0" defaultSubtotal="0"/>
  </pivotFields>
  <rowFields count="1">
    <field x="0"/>
  </rowFields>
  <rowItems count="11">
    <i>
      <x v="6"/>
    </i>
    <i>
      <x v="3"/>
    </i>
    <i>
      <x/>
    </i>
    <i>
      <x v="5"/>
    </i>
    <i>
      <x v="1"/>
    </i>
    <i>
      <x v="9"/>
    </i>
    <i>
      <x v="8"/>
    </i>
    <i>
      <x v="4"/>
    </i>
    <i>
      <x v="2"/>
    </i>
    <i>
      <x v="7"/>
    </i>
    <i t="grand">
      <x/>
    </i>
  </rowItems>
  <colItems count="1">
    <i/>
  </colItems>
  <dataFields count="1">
    <dataField name="Sum of Total Cost" fld="1" baseField="0" baseItem="0" numFmtId="166"/>
  </dataFields>
  <formats count="7">
    <format dxfId="6">
      <pivotArea outline="0" collapsedLevelsAreSubtotals="1" fieldPosition="0"/>
    </format>
    <format dxfId="5">
      <pivotArea type="all" dataOnly="0" outline="0" fieldPosition="0"/>
    </format>
    <format dxfId="4">
      <pivotArea outline="0" collapsedLevelsAreSubtotals="1" fieldPosition="0"/>
    </format>
    <format dxfId="3">
      <pivotArea field="0" type="button" dataOnly="0" labelOnly="1" outline="0" axis="axisRow" fieldPosition="0"/>
    </format>
    <format dxfId="2">
      <pivotArea dataOnly="0" labelOnly="1" fieldPosition="0">
        <references count="1">
          <reference field="0" count="0"/>
        </references>
      </pivotArea>
    </format>
    <format dxfId="1">
      <pivotArea dataOnly="0" labelOnly="1" grandRow="1" outline="0" fieldPosition="0"/>
    </format>
    <format dxfId="0">
      <pivotArea dataOnly="0" labelOnly="1" outline="0" axis="axisValues" fieldPosition="0"/>
    </format>
  </format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Hierarchies count="56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17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qry_Player_Cash_Out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1" xr16:uid="{1E54EAAE-DAFF-43D4-A06F-414C33E983B0}" autoFormatId="16" applyNumberFormats="0" applyBorderFormats="0" applyFontFormats="0" applyPatternFormats="0" applyAlignmentFormats="0" applyWidthHeightFormats="0">
  <queryTableRefresh nextId="8" unboundColumnsRight="2">
    <queryTableFields count="7">
      <queryTableField id="1" name="Game_Number" tableColumnId="1"/>
      <queryTableField id="2" name="PlayerNo" tableColumnId="2"/>
      <queryTableField id="3" name="BuyIn" tableColumnId="3"/>
      <queryTableField id="4" name="Rebuy" tableColumnId="4"/>
      <queryTableField id="5" name="CashOut" tableColumnId="5"/>
      <queryTableField id="6" dataBound="0" tableColumnId="6"/>
      <queryTableField id="7" dataBound="0" tableColumnId="7"/>
    </queryTableFields>
  </queryTableRefresh>
  <extLst>
    <ext xmlns:x15="http://schemas.microsoft.com/office/spreadsheetml/2010/11/main" uri="{883FBD77-0823-4a55-B5E3-86C4891E6966}">
      <x15:queryTable sourceDataName="Query - qry_Player_Stats"/>
    </ext>
  </extLst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6" xr16:uid="{9FE71C62-D789-496F-BCB6-595397A55955}" autoFormatId="16" applyNumberFormats="0" applyBorderFormats="0" applyFontFormats="0" applyPatternFormats="0" applyAlignmentFormats="0" applyWidthHeightFormats="0">
  <queryTableRefresh nextId="4">
    <queryTableFields count="3">
      <queryTableField id="1" name="PlayerNo" tableColumnId="1"/>
      <queryTableField id="2" name="FullName" tableColumnId="2"/>
      <queryTableField id="3" name="Title" tableColumnId="3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backgroundRefresh="0" connectionId="2" xr16:uid="{E0C73991-C720-4670-85CE-1A3251B771AA}" autoFormatId="16" applyNumberFormats="0" applyBorderFormats="0" applyFontFormats="0" applyPatternFormats="0" applyAlignmentFormats="0" applyWidthHeightFormats="0">
  <queryTableRefresh nextId="8">
    <queryTableFields count="5">
      <queryTableField id="1" name="ID" tableColumnId="1"/>
      <queryTableField id="2" name="Game_Date" tableColumnId="2"/>
      <queryTableField id="3" name="Host" tableColumnId="3"/>
      <queryTableField id="4" name="Structure_ID" tableColumnId="4"/>
      <queryTableField id="7" name="Players.FullName" tableColumnId="7"/>
    </queryTableFields>
  </queryTableRefresh>
  <extLst>
    <ext xmlns:x15="http://schemas.microsoft.com/office/spreadsheetml/2010/11/main" uri="{883FBD77-0823-4a55-B5E3-86C4891E6966}">
      <x15:queryTable sourceDataName="Query - Game_Number"/>
    </ext>
  </extLst>
</queryTable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Live_Poker" displayName="Live_Poker" ref="A1:G75" totalsRowCount="1">
  <autoFilter ref="A1:G74" xr:uid="{00000000-0009-0000-0100-000002000000}"/>
  <sortState xmlns:xlrd2="http://schemas.microsoft.com/office/spreadsheetml/2017/richdata2" ref="A2:G65">
    <sortCondition ref="A1:A65"/>
  </sortState>
  <tableColumns count="7">
    <tableColumn id="1" xr3:uid="{00000000-0010-0000-0100-000001000000}" name="Date" totalsRowLabel="Total" dataDxfId="127" totalsRowDxfId="126"/>
    <tableColumn id="2" xr3:uid="{00000000-0010-0000-0100-000002000000}" name="Buy in" totalsRowFunction="sum" dataDxfId="125" totalsRowDxfId="124"/>
    <tableColumn id="3" xr3:uid="{00000000-0010-0000-0100-000003000000}" name="Cash Out" totalsRowFunction="sum" dataDxfId="123" totalsRowDxfId="122"/>
    <tableColumn id="7" xr3:uid="{CF65EBF8-CE26-4190-B5CE-84DABC5F9BC2}" name="Profit" totalsRowFunction="sum" dataDxfId="121" totalsRowDxfId="120">
      <calculatedColumnFormula>Live_Poker[[#This Row],[Cash Out]]-Live_Poker[[#This Row],[Buy in]]</calculatedColumnFormula>
    </tableColumn>
    <tableColumn id="4" xr3:uid="{00000000-0010-0000-0100-000004000000}" name="Hold EmTourney played" totalsRowFunction="sum"/>
    <tableColumn id="5" xr3:uid="{4238DA62-13F2-4835-B625-079995808093}" name="Game type" totalsRowFunction="count" totalsRowDxfId="119"/>
    <tableColumn id="6" xr3:uid="{60A45704-EB35-4473-9DBC-61C83F9F87C8}" name="Comment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1:L21" totalsRowCount="1">
  <autoFilter ref="A1:L20" xr:uid="{00000000-0009-0000-0100-000001000000}"/>
  <tableColumns count="12">
    <tableColumn id="1" xr3:uid="{00000000-0010-0000-0000-000001000000}" name="Date" totalsRowLabel="Total" dataDxfId="118"/>
    <tableColumn id="2" xr3:uid="{00000000-0010-0000-0000-000002000000}" name="OP Bal" dataDxfId="117" totalsRowDxfId="116"/>
    <tableColumn id="3" xr3:uid="{00000000-0010-0000-0000-000003000000}" name="Closing Bal" dataDxfId="115"/>
    <tableColumn id="4" xr3:uid="{00000000-0010-0000-0000-000004000000}" name="profit / Loss" totalsRowFunction="sum" dataDxfId="114" totalsRowDxfId="113">
      <calculatedColumnFormula>C2-B2</calculatedColumnFormula>
    </tableColumn>
    <tableColumn id="6" xr3:uid="{00000000-0010-0000-0000-000006000000}" name="Time" totalsRowFunction="sum" dataDxfId="112" totalsRowDxfId="111"/>
    <tableColumn id="12" xr3:uid="{2B9B961B-A6D8-4B98-A8E6-DCCB8C36F38F}" name="Site" dataDxfId="110" totalsRowDxfId="109"/>
    <tableColumn id="7" xr3:uid="{00000000-0010-0000-0000-000007000000}" name="Game"/>
    <tableColumn id="8" xr3:uid="{00000000-0010-0000-0000-000008000000}" name="Buy In" dataDxfId="108" totalsRowDxfId="107"/>
    <tableColumn id="9" xr3:uid="{00000000-0010-0000-0000-000009000000}" name="Tourneys Played" totalsRowFunction="sum"/>
    <tableColumn id="10" xr3:uid="{00000000-0010-0000-0000-00000A000000}" name="Tourneys Cashed" totalsRowFunction="sum"/>
    <tableColumn id="5" xr3:uid="{00000000-0010-0000-0000-000005000000}" name="total Cost of Entries" totalsRowFunction="sum" dataDxfId="106" totalsRowDxfId="105"/>
    <tableColumn id="11" xr3:uid="{00000000-0010-0000-0000-00000B000000}" name="Comment" dataDxfId="104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8FB63A2B-FAF7-4616-831E-31CD54B9E4EC}" name="Table4" displayName="Table4" ref="A1:O19" totalsRowCount="1">
  <autoFilter ref="A1:O18" xr:uid="{D5932E4A-6EED-4EBB-AD0F-3514BAB49EAF}"/>
  <tableColumns count="15">
    <tableColumn id="1" xr3:uid="{BEA61D64-EE1B-4C7E-B848-63582FD6476F}" name="Name" totalsRowLabel="Total"/>
    <tableColumn id="2" xr3:uid="{7C20FAE4-9F6C-4E0B-A5D6-39FC6656B9A7}" name="20-Mar Paid" totalsRowFunction="sum" dataDxfId="103" totalsRowDxfId="102"/>
    <tableColumn id="3" xr3:uid="{48D119F1-174B-44E2-9E10-BC92941618D5}" name="Winnings" totalsRowFunction="sum" dataDxfId="101" totalsRowDxfId="100"/>
    <tableColumn id="4" xr3:uid="{9EEAF428-3DCC-496C-ABA5-71D96DECDFD6}" name="Paid" totalsRowFunction="sum" dataDxfId="99" totalsRowDxfId="98"/>
    <tableColumn id="5" xr3:uid="{B87FD21C-280F-406E-AAED-CE0144DE04A8}" name="Balance Due" dataDxfId="97">
      <calculatedColumnFormula>Table4[[#This Row],[Winnings]]-Table4[[#This Row],[Paid]]</calculatedColumnFormula>
    </tableColumn>
    <tableColumn id="6" xr3:uid="{3C888F0D-AE53-4BFB-9436-49CD9A0B24A9}" name="10/04/2020" totalsRowFunction="sum" dataDxfId="96" totalsRowDxfId="95"/>
    <tableColumn id="7" xr3:uid="{B73D0E39-5BEA-4409-B552-9CC0E6831CAF}" name="Winnings2" totalsRowFunction="sum" dataDxfId="94" totalsRowDxfId="93"/>
    <tableColumn id="8" xr3:uid="{B2FFAABE-7125-48AC-969B-89223C4C0CAF}" name="Balance due2" totalsRowFunction="sum" dataDxfId="92" totalsRowDxfId="91"/>
    <tableColumn id="9" xr3:uid="{E9F400B3-5BED-492F-88A5-4CC7ED982CBA}" name="Paid2" dataDxfId="90"/>
    <tableColumn id="10" xr3:uid="{C31FE41D-FDCC-42C0-B89D-EFF28E33ADAF}" name="Column6" dataDxfId="89"/>
    <tableColumn id="11" xr3:uid="{F5BAB10D-0B6A-45BB-8BBC-9A87569FB9E5}" name="Column7" dataDxfId="88"/>
    <tableColumn id="12" xr3:uid="{8D6894CB-CB0B-4971-A012-B9BCFAC25529}" name="Column8" dataDxfId="87"/>
    <tableColumn id="13" xr3:uid="{244452AE-ECD7-4E06-8D29-7D041A758C25}" name="Column9" dataDxfId="86"/>
    <tableColumn id="14" xr3:uid="{6867D464-AAAE-4010-AB5F-0E396E0722E2}" name="Column10" dataDxfId="85"/>
    <tableColumn id="15" xr3:uid="{8EC21A37-F728-405F-BFAD-1F10A6DD4ADB}" name="Column11" totalsRowFunction="count" dataDxfId="84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AA3FDAD-53D1-465D-8B0D-C9A1B5E098F5}" name="Table3" displayName="Table3" ref="A2:A7" totalsRowShown="0" headerRowDxfId="83" dataDxfId="82">
  <autoFilter ref="A2:A7" xr:uid="{FAFBE7D9-FD04-4BF7-9316-A81F93FF1804}"/>
  <tableColumns count="1">
    <tableColumn id="1" xr3:uid="{7538C2E1-B698-47EA-B889-75EAFDF5FDAF}" name="Game Type" dataDxfId="81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97F6F98-8B14-468F-9A1E-12FEF57014DD}" name="Table5" displayName="Table5" ref="I2:N9" totalsRowCount="1" headerRowDxfId="80" dataDxfId="79" tableBorderDxfId="78">
  <autoFilter ref="I2:N8" xr:uid="{797F6F98-8B14-468F-9A1E-12FEF57014DD}"/>
  <tableColumns count="6">
    <tableColumn id="1" xr3:uid="{4BB99930-0619-47E9-A149-AD90CCE09F57}" name="Chip Denomination" totalsRowLabel="Total" dataDxfId="77" totalsRowDxfId="76"/>
    <tableColumn id="2" xr3:uid="{BD428982-1E12-4988-8842-21FA33DA3E10}" name="In Game Chips Per Person" totalsRowFunction="sum" dataDxfId="75" totalsRowDxfId="74"/>
    <tableColumn id="5" xr3:uid="{2A1CA862-5A72-43B5-8587-2D690FA390F8}" name="Chip Value Per Person" totalsRowFunction="sum" dataDxfId="73" totalsRowDxfId="72">
      <calculatedColumnFormula>Table5[[#This Row],[In Game Chips Per Person]]*Table5[[#This Row],[Chip Denomination]]</calculatedColumnFormula>
    </tableColumn>
    <tableColumn id="6" xr3:uid="{B446EBDA-3C0F-4501-A8DA-F23FADEE6F02}" name="In Play Chips Required" totalsRowFunction="sum" dataDxfId="71" totalsRowDxfId="70">
      <calculatedColumnFormula>Table5[[#This Row],[In Game Chips Per Person]]*$L$1</calculatedColumnFormula>
    </tableColumn>
    <tableColumn id="7" xr3:uid="{FA6AC158-C6D8-4CBB-9271-F6B4EBA8AA45}" name="Cash Up Chips" totalsRowFunction="min" dataDxfId="69" totalsRowDxfId="68"/>
    <tableColumn id="4" xr3:uid="{FD72B3AA-1C4C-442E-B283-9634FBE11192}" name="Total Chips Required" totalsRowFunction="sum" dataDxfId="67">
      <calculatedColumnFormula>Table5[[#This Row],[In Play Chips Required]]+Table5[[#This Row],[Cash Up Chips]]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1FFC8C6A-E269-4BD7-A3A5-E66266F0DDA5}" name="Table57" displayName="Table57" ref="R2:W9" totalsRowCount="1" headerRowDxfId="66" dataDxfId="65" tableBorderDxfId="64">
  <autoFilter ref="R2:W8" xr:uid="{1FFC8C6A-E269-4BD7-A3A5-E66266F0DDA5}"/>
  <tableColumns count="6">
    <tableColumn id="1" xr3:uid="{9477D545-D76E-4DA5-BC50-91E2BAD91B37}" name="Chip Denomination" totalsRowLabel="Total" dataDxfId="63" totalsRowDxfId="62"/>
    <tableColumn id="2" xr3:uid="{8946CE24-652D-4E92-BDC9-540B66591609}" name="In Game Chips Per Person" totalsRowFunction="sum" dataDxfId="61" totalsRowDxfId="60"/>
    <tableColumn id="5" xr3:uid="{BB3A97AA-BF94-4485-BB45-1813056A9C8D}" name="Chip Value Per Person" totalsRowFunction="sum" dataDxfId="59" totalsRowDxfId="58">
      <calculatedColumnFormula>Table57[[#This Row],[In Game Chips Per Person]]*Table57[[#This Row],[Chip Denomination]]</calculatedColumnFormula>
    </tableColumn>
    <tableColumn id="6" xr3:uid="{92E44D91-ABA8-418E-8606-71BD24C2B28D}" name="In Play Chips Required" totalsRowFunction="sum" dataDxfId="57" totalsRowDxfId="56">
      <calculatedColumnFormula>Table57[[#This Row],[In Game Chips Per Person]]*$U$1</calculatedColumnFormula>
    </tableColumn>
    <tableColumn id="7" xr3:uid="{1B3C4936-D0E5-49C5-AA0C-DAE701FA9BB6}" name="Cash Up Chips" totalsRowFunction="sum" dataDxfId="55" totalsRowDxfId="54"/>
    <tableColumn id="4" xr3:uid="{109AA943-4084-4CB2-873F-90C698448551}" name="Total Chips Required" totalsRowFunction="sum" dataDxfId="53">
      <calculatedColumnFormula>Table57[[#This Row],[In Play Chips Required]]+Table57[[#This Row],[Cash Up Chips]]</calculatedColumnFormula>
    </tableColumn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FD5345C7-50C6-4ECC-9AA6-621A57458A9B}" name="qry_Player_Stats" displayName="qry_Player_Stats" ref="A1:G51" tableType="queryTable" totalsRowCount="1">
  <autoFilter ref="A1:G50" xr:uid="{FD5345C7-50C6-4ECC-9AA6-621A57458A9B}"/>
  <sortState xmlns:xlrd2="http://schemas.microsoft.com/office/spreadsheetml/2017/richdata2" ref="A2:G50">
    <sortCondition ref="A1:A50"/>
  </sortState>
  <tableColumns count="7">
    <tableColumn id="1" xr3:uid="{79E8F156-5F81-4327-BD4D-FDBAC84315F5}" uniqueName="1" name="Game_Number" totalsRowLabel="Total" queryTableFieldId="1"/>
    <tableColumn id="2" xr3:uid="{4411B2C9-725A-417F-86DB-EA5AAE3931FA}" uniqueName="2" name="PlayerNo" queryTableFieldId="2"/>
    <tableColumn id="3" xr3:uid="{6C70CCA1-8084-4654-AE94-1DA1A9E3F95B}" uniqueName="3" name="BuyIn" totalsRowFunction="sum" queryTableFieldId="3" dataDxfId="20" totalsRowDxfId="19"/>
    <tableColumn id="4" xr3:uid="{485FEEDD-272F-4AEA-BEBC-AA0CA83F91D3}" uniqueName="4" name="Rebuy" totalsRowFunction="sum" queryTableFieldId="4" dataDxfId="18" totalsRowDxfId="17"/>
    <tableColumn id="5" xr3:uid="{FD7716A8-42C0-46F5-8C19-CF32E287CCC2}" uniqueName="5" name="CashOut" totalsRowFunction="sum" queryTableFieldId="5" dataDxfId="16" totalsRowDxfId="15"/>
    <tableColumn id="6" xr3:uid="{928F5653-A85D-437F-B213-C7A8891DC05B}" uniqueName="6" name="ROI" totalsRowFunction="sum" queryTableFieldId="6" dataDxfId="14" totalsRowDxfId="13">
      <calculatedColumnFormula>qry_Player_Stats[[#This Row],[CashOut]]-(qry_Player_Stats[[#This Row],[BuyIn]]+qry_Player_Stats[[#This Row],[Rebuy]])</calculatedColumnFormula>
    </tableColumn>
    <tableColumn id="7" xr3:uid="{4571C036-EB71-435D-8ECC-9E1CE0392C8C}" uniqueName="7" name="PlayerName" queryTableFieldId="7" dataDxfId="12">
      <calculatedColumnFormula>VLOOKUP(qry_Player_Stats[[#This Row],[PlayerNo]],Players__2[[PlayerNo]:[FullName]],2,TRUE)</calculatedColumnFormula>
    </tableColumn>
  </tableColumns>
  <tableStyleInfo name="TableStyleMedium7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DB6785D2-5E6A-4EB3-9997-2B2F5378ABE3}" name="Players__2" displayName="Players__2" ref="M1:O13" tableType="queryTable" totalsRowShown="0">
  <autoFilter ref="M1:O13" xr:uid="{DB6785D2-5E6A-4EB3-9997-2B2F5378ABE3}"/>
  <tableColumns count="3">
    <tableColumn id="1" xr3:uid="{B09057C3-B94A-4F63-AEFE-4301C0D07BE7}" uniqueName="1" name="PlayerNo" queryTableFieldId="1"/>
    <tableColumn id="2" xr3:uid="{1CB5FDFC-FCF1-4306-965D-625A54D25640}" uniqueName="2" name="FullName" queryTableFieldId="2" dataDxfId="11"/>
    <tableColumn id="3" xr3:uid="{E14791F2-F376-4463-88E3-9A9A77301BEE}" uniqueName="3" name="Title" queryTableFieldId="3" dataDxfId="10"/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295D8564-02BC-4376-BE43-85F8AD7B3533}" name="Game_Number" displayName="Game_Number" ref="A1:E8" tableType="queryTable" totalsRowShown="0">
  <autoFilter ref="A1:E8" xr:uid="{295D8564-02BC-4376-BE43-85F8AD7B3533}"/>
  <sortState xmlns:xlrd2="http://schemas.microsoft.com/office/spreadsheetml/2017/richdata2" ref="A2:E8">
    <sortCondition ref="A1:A8"/>
  </sortState>
  <tableColumns count="5">
    <tableColumn id="1" xr3:uid="{D89A375D-3CA1-41B7-8AD6-47C0D91440C0}" uniqueName="1" name="Game_ID" queryTableFieldId="1"/>
    <tableColumn id="2" xr3:uid="{CB8C454D-53A6-480B-9F7B-0B161E4461E1}" uniqueName="2" name="Game_Date" queryTableFieldId="2" dataDxfId="9"/>
    <tableColumn id="3" xr3:uid="{14B35795-9586-4A2D-8A78-A819BAE2616E}" uniqueName="3" name="Host" queryTableFieldId="3" dataDxfId="8"/>
    <tableColumn id="4" xr3:uid="{5122E764-52AA-4699-A552-E1B70F22124D}" uniqueName="4" name="Structure_ID" queryTableFieldId="4"/>
    <tableColumn id="7" xr3:uid="{46C04D48-D0FD-49E5-8C87-BE374050C198}" uniqueName="7" name="Players.FullName" queryTableFieldId="7" dataDxfId="7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7.bin"/><Relationship Id="rId1" Type="http://schemas.openxmlformats.org/officeDocument/2006/relationships/pivotTable" Target="../pivotTables/pivotTable1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2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table" Target="../tables/table7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.xml"/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3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ivotTable" Target="../pivotTables/pivotTable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G83"/>
  <sheetViews>
    <sheetView workbookViewId="0">
      <pane ySplit="1" topLeftCell="A47" activePane="bottomLeft" state="frozen"/>
      <selection pane="bottomLeft" activeCell="D80" sqref="D80"/>
    </sheetView>
  </sheetViews>
  <sheetFormatPr defaultRowHeight="15" x14ac:dyDescent="0.25"/>
  <cols>
    <col min="1" max="1" width="20.28515625" style="7" customWidth="1"/>
    <col min="2" max="2" width="16.140625" style="9" customWidth="1"/>
    <col min="3" max="3" width="19.5703125" style="9" customWidth="1"/>
    <col min="4" max="4" width="19" customWidth="1"/>
    <col min="5" max="5" width="27" bestFit="1" customWidth="1"/>
    <col min="6" max="6" width="39" customWidth="1"/>
    <col min="7" max="7" width="23.5703125" bestFit="1" customWidth="1"/>
    <col min="13" max="13" width="16" bestFit="1" customWidth="1"/>
  </cols>
  <sheetData>
    <row r="1" spans="1:7" x14ac:dyDescent="0.25">
      <c r="A1" s="15" t="s">
        <v>0</v>
      </c>
      <c r="B1" s="13" t="s">
        <v>12</v>
      </c>
      <c r="C1" s="13" t="s">
        <v>13</v>
      </c>
      <c r="D1" s="13" t="s">
        <v>18</v>
      </c>
      <c r="E1" s="14" t="s">
        <v>80</v>
      </c>
      <c r="F1" s="14" t="s">
        <v>22</v>
      </c>
      <c r="G1" s="14" t="s">
        <v>20</v>
      </c>
    </row>
    <row r="2" spans="1:7" x14ac:dyDescent="0.25">
      <c r="A2" s="7">
        <v>41761</v>
      </c>
      <c r="B2" s="25">
        <v>35</v>
      </c>
      <c r="C2" s="25">
        <v>120</v>
      </c>
      <c r="D2" s="9">
        <f>Live_Poker[[#This Row],[Cash Out]]-Live_Poker[[#This Row],[Buy in]]</f>
        <v>85</v>
      </c>
      <c r="E2">
        <v>2</v>
      </c>
      <c r="F2" t="s">
        <v>23</v>
      </c>
      <c r="G2" t="s">
        <v>79</v>
      </c>
    </row>
    <row r="3" spans="1:7" x14ac:dyDescent="0.25">
      <c r="A3" s="7">
        <v>42146</v>
      </c>
      <c r="B3" s="25">
        <v>35</v>
      </c>
      <c r="C3" s="25">
        <v>54</v>
      </c>
      <c r="D3" s="9">
        <f>Live_Poker[[#This Row],[Cash Out]]-Live_Poker[[#This Row],[Buy in]]</f>
        <v>19</v>
      </c>
      <c r="E3">
        <v>2</v>
      </c>
      <c r="F3" t="s">
        <v>23</v>
      </c>
      <c r="G3" t="s">
        <v>79</v>
      </c>
    </row>
    <row r="4" spans="1:7" x14ac:dyDescent="0.25">
      <c r="A4" s="7">
        <v>42797</v>
      </c>
      <c r="B4" s="9">
        <v>35</v>
      </c>
      <c r="C4" s="9">
        <v>20</v>
      </c>
      <c r="D4" s="9">
        <f>Live_Poker[[#This Row],[Cash Out]]-Live_Poker[[#This Row],[Buy in]]</f>
        <v>-15</v>
      </c>
      <c r="E4">
        <v>2</v>
      </c>
      <c r="F4" t="s">
        <v>23</v>
      </c>
    </row>
    <row r="5" spans="1:7" x14ac:dyDescent="0.25">
      <c r="A5" s="7">
        <v>42825</v>
      </c>
      <c r="B5" s="9">
        <v>35</v>
      </c>
      <c r="C5" s="9">
        <v>90</v>
      </c>
      <c r="D5" s="9">
        <f>Live_Poker[[#This Row],[Cash Out]]-Live_Poker[[#This Row],[Buy in]]</f>
        <v>55</v>
      </c>
      <c r="E5">
        <v>2</v>
      </c>
      <c r="F5" t="s">
        <v>23</v>
      </c>
    </row>
    <row r="6" spans="1:7" x14ac:dyDescent="0.25">
      <c r="A6" s="7">
        <v>42839</v>
      </c>
      <c r="B6" s="9">
        <v>35</v>
      </c>
      <c r="C6" s="9">
        <v>150</v>
      </c>
      <c r="D6" s="9">
        <f>Live_Poker[[#This Row],[Cash Out]]-Live_Poker[[#This Row],[Buy in]]</f>
        <v>115</v>
      </c>
      <c r="E6">
        <v>2</v>
      </c>
      <c r="F6" t="s">
        <v>23</v>
      </c>
    </row>
    <row r="7" spans="1:7" x14ac:dyDescent="0.25">
      <c r="A7" s="7">
        <v>42853</v>
      </c>
      <c r="B7" s="9">
        <v>35</v>
      </c>
      <c r="C7" s="9">
        <v>0</v>
      </c>
      <c r="D7" s="9">
        <f>Live_Poker[[#This Row],[Cash Out]]-Live_Poker[[#This Row],[Buy in]]</f>
        <v>-35</v>
      </c>
      <c r="E7">
        <v>2</v>
      </c>
      <c r="F7" t="s">
        <v>23</v>
      </c>
    </row>
    <row r="8" spans="1:7" x14ac:dyDescent="0.25">
      <c r="A8" s="7">
        <v>42889</v>
      </c>
      <c r="B8" s="9">
        <v>45</v>
      </c>
      <c r="C8" s="9">
        <v>69</v>
      </c>
      <c r="D8" s="9">
        <f>Live_Poker[[#This Row],[Cash Out]]-Live_Poker[[#This Row],[Buy in]]</f>
        <v>24</v>
      </c>
      <c r="E8">
        <v>2</v>
      </c>
      <c r="F8" t="s">
        <v>23</v>
      </c>
    </row>
    <row r="9" spans="1:7" x14ac:dyDescent="0.25">
      <c r="A9" s="7">
        <v>42958</v>
      </c>
      <c r="B9" s="9">
        <v>35</v>
      </c>
      <c r="C9" s="9">
        <v>33</v>
      </c>
      <c r="D9" s="9">
        <f>Live_Poker[[#This Row],[Cash Out]]-Live_Poker[[#This Row],[Buy in]]</f>
        <v>-2</v>
      </c>
      <c r="E9">
        <v>2</v>
      </c>
      <c r="F9" t="s">
        <v>23</v>
      </c>
    </row>
    <row r="10" spans="1:7" x14ac:dyDescent="0.25">
      <c r="A10" s="7">
        <v>42993</v>
      </c>
      <c r="B10" s="9">
        <v>35</v>
      </c>
      <c r="C10" s="9">
        <v>21</v>
      </c>
      <c r="D10" s="9">
        <f>Live_Poker[[#This Row],[Cash Out]]-Live_Poker[[#This Row],[Buy in]]</f>
        <v>-14</v>
      </c>
      <c r="E10">
        <v>2</v>
      </c>
      <c r="F10" t="s">
        <v>23</v>
      </c>
    </row>
    <row r="11" spans="1:7" x14ac:dyDescent="0.25">
      <c r="A11" s="7">
        <v>43007</v>
      </c>
      <c r="B11" s="9">
        <v>45</v>
      </c>
      <c r="C11" s="9">
        <v>20</v>
      </c>
      <c r="D11" s="9">
        <f>Live_Poker[[#This Row],[Cash Out]]-Live_Poker[[#This Row],[Buy in]]</f>
        <v>-25</v>
      </c>
      <c r="E11">
        <v>2</v>
      </c>
      <c r="F11" t="s">
        <v>23</v>
      </c>
    </row>
    <row r="12" spans="1:7" x14ac:dyDescent="0.25">
      <c r="A12" s="7">
        <v>43035</v>
      </c>
      <c r="B12" s="9">
        <v>30</v>
      </c>
      <c r="C12" s="9">
        <v>82</v>
      </c>
      <c r="D12" s="9">
        <f>Live_Poker[[#This Row],[Cash Out]]-Live_Poker[[#This Row],[Buy in]]</f>
        <v>52</v>
      </c>
      <c r="E12">
        <v>2</v>
      </c>
      <c r="F12" t="s">
        <v>23</v>
      </c>
    </row>
    <row r="13" spans="1:7" x14ac:dyDescent="0.25">
      <c r="A13" s="7">
        <v>43056</v>
      </c>
      <c r="B13" s="9">
        <v>30</v>
      </c>
      <c r="C13" s="9">
        <v>76</v>
      </c>
      <c r="D13" s="9">
        <f>Live_Poker[[#This Row],[Cash Out]]-Live_Poker[[#This Row],[Buy in]]</f>
        <v>46</v>
      </c>
      <c r="E13">
        <v>2</v>
      </c>
      <c r="F13" t="s">
        <v>23</v>
      </c>
    </row>
    <row r="14" spans="1:7" x14ac:dyDescent="0.25">
      <c r="A14" s="7">
        <v>43098</v>
      </c>
      <c r="B14" s="9">
        <v>30</v>
      </c>
      <c r="C14" s="9">
        <v>14.5</v>
      </c>
      <c r="D14" s="9">
        <f>Live_Poker[[#This Row],[Cash Out]]-Live_Poker[[#This Row],[Buy in]]</f>
        <v>-15.5</v>
      </c>
      <c r="E14">
        <v>2</v>
      </c>
      <c r="F14" t="s">
        <v>23</v>
      </c>
    </row>
    <row r="15" spans="1:7" x14ac:dyDescent="0.25">
      <c r="A15" s="7">
        <v>43126</v>
      </c>
      <c r="B15" s="9">
        <v>30</v>
      </c>
      <c r="C15" s="9">
        <v>0</v>
      </c>
      <c r="D15" s="9">
        <f>Live_Poker[[#This Row],[Cash Out]]-Live_Poker[[#This Row],[Buy in]]</f>
        <v>-30</v>
      </c>
      <c r="E15">
        <v>2</v>
      </c>
      <c r="F15" t="s">
        <v>23</v>
      </c>
    </row>
    <row r="16" spans="1:7" x14ac:dyDescent="0.25">
      <c r="A16" s="7">
        <v>43154</v>
      </c>
      <c r="B16" s="9">
        <v>40</v>
      </c>
      <c r="C16" s="9">
        <v>15</v>
      </c>
      <c r="D16" s="9">
        <f>Live_Poker[[#This Row],[Cash Out]]-Live_Poker[[#This Row],[Buy in]]</f>
        <v>-25</v>
      </c>
      <c r="E16">
        <v>2</v>
      </c>
      <c r="F16" t="s">
        <v>23</v>
      </c>
    </row>
    <row r="17" spans="1:6" x14ac:dyDescent="0.25">
      <c r="A17" s="7">
        <v>43196</v>
      </c>
      <c r="B17" s="9">
        <v>30</v>
      </c>
      <c r="C17" s="9">
        <v>49</v>
      </c>
      <c r="D17" s="9">
        <f>Live_Poker[[#This Row],[Cash Out]]-Live_Poker[[#This Row],[Buy in]]</f>
        <v>19</v>
      </c>
      <c r="E17">
        <v>2</v>
      </c>
      <c r="F17" t="s">
        <v>23</v>
      </c>
    </row>
    <row r="18" spans="1:6" x14ac:dyDescent="0.25">
      <c r="A18" s="7">
        <v>43246</v>
      </c>
      <c r="B18" s="9">
        <v>30</v>
      </c>
      <c r="C18" s="9">
        <v>60</v>
      </c>
      <c r="D18" s="9">
        <f>Live_Poker[[#This Row],[Cash Out]]-Live_Poker[[#This Row],[Buy in]]</f>
        <v>30</v>
      </c>
      <c r="E18">
        <v>2</v>
      </c>
      <c r="F18" t="s">
        <v>23</v>
      </c>
    </row>
    <row r="19" spans="1:6" x14ac:dyDescent="0.25">
      <c r="A19" s="7">
        <v>43302</v>
      </c>
      <c r="B19" s="9">
        <v>30</v>
      </c>
      <c r="C19" s="9">
        <v>25</v>
      </c>
      <c r="D19" s="9">
        <f>Live_Poker[[#This Row],[Cash Out]]-Live_Poker[[#This Row],[Buy in]]</f>
        <v>-5</v>
      </c>
      <c r="E19">
        <v>2</v>
      </c>
      <c r="F19" t="s">
        <v>23</v>
      </c>
    </row>
    <row r="20" spans="1:6" x14ac:dyDescent="0.25">
      <c r="A20" s="7">
        <v>43351</v>
      </c>
      <c r="B20" s="9">
        <v>30</v>
      </c>
      <c r="C20" s="9">
        <v>60</v>
      </c>
      <c r="D20" s="9">
        <f>Live_Poker[[#This Row],[Cash Out]]-Live_Poker[[#This Row],[Buy in]]</f>
        <v>30</v>
      </c>
      <c r="E20">
        <v>2</v>
      </c>
      <c r="F20" t="s">
        <v>23</v>
      </c>
    </row>
    <row r="21" spans="1:6" x14ac:dyDescent="0.25">
      <c r="A21" s="7">
        <v>43364</v>
      </c>
      <c r="B21" s="9">
        <v>30</v>
      </c>
      <c r="C21" s="9">
        <v>56</v>
      </c>
      <c r="D21" s="9">
        <f>Live_Poker[[#This Row],[Cash Out]]-Live_Poker[[#This Row],[Buy in]]</f>
        <v>26</v>
      </c>
      <c r="E21">
        <v>2</v>
      </c>
      <c r="F21" t="s">
        <v>23</v>
      </c>
    </row>
    <row r="22" spans="1:6" x14ac:dyDescent="0.25">
      <c r="A22" s="7">
        <v>43386</v>
      </c>
      <c r="B22" s="9">
        <v>30</v>
      </c>
      <c r="C22" s="9">
        <v>27</v>
      </c>
      <c r="D22" s="9">
        <f>Live_Poker[[#This Row],[Cash Out]]-Live_Poker[[#This Row],[Buy in]]</f>
        <v>-3</v>
      </c>
      <c r="E22">
        <v>2</v>
      </c>
      <c r="F22" t="s">
        <v>23</v>
      </c>
    </row>
    <row r="23" spans="1:6" x14ac:dyDescent="0.25">
      <c r="A23" s="7">
        <v>43406</v>
      </c>
      <c r="B23" s="9">
        <v>40</v>
      </c>
      <c r="C23" s="9">
        <v>146</v>
      </c>
      <c r="D23" s="9">
        <f>Live_Poker[[#This Row],[Cash Out]]-Live_Poker[[#This Row],[Buy in]]</f>
        <v>106</v>
      </c>
      <c r="E23">
        <v>2</v>
      </c>
      <c r="F23" t="s">
        <v>23</v>
      </c>
    </row>
    <row r="24" spans="1:6" x14ac:dyDescent="0.25">
      <c r="A24" s="7">
        <v>43526</v>
      </c>
      <c r="B24" s="9">
        <v>30</v>
      </c>
      <c r="C24" s="9">
        <v>17</v>
      </c>
      <c r="D24" s="9">
        <f>Live_Poker[[#This Row],[Cash Out]]-Live_Poker[[#This Row],[Buy in]]</f>
        <v>-13</v>
      </c>
      <c r="E24">
        <v>2</v>
      </c>
      <c r="F24" t="s">
        <v>23</v>
      </c>
    </row>
    <row r="25" spans="1:6" x14ac:dyDescent="0.25">
      <c r="A25" s="7">
        <v>43546</v>
      </c>
      <c r="B25" s="9">
        <v>30</v>
      </c>
      <c r="C25" s="9">
        <v>46</v>
      </c>
      <c r="D25" s="9">
        <f>Live_Poker[[#This Row],[Cash Out]]-Live_Poker[[#This Row],[Buy in]]</f>
        <v>16</v>
      </c>
      <c r="E25">
        <v>2</v>
      </c>
      <c r="F25" t="s">
        <v>23</v>
      </c>
    </row>
    <row r="26" spans="1:6" x14ac:dyDescent="0.25">
      <c r="A26" s="7">
        <v>43672</v>
      </c>
      <c r="B26" s="9">
        <v>30</v>
      </c>
      <c r="C26" s="9">
        <v>25</v>
      </c>
      <c r="D26" s="9">
        <f>Live_Poker[[#This Row],[Cash Out]]-Live_Poker[[#This Row],[Buy in]]</f>
        <v>-5</v>
      </c>
      <c r="E26">
        <v>2</v>
      </c>
      <c r="F26" t="s">
        <v>23</v>
      </c>
    </row>
    <row r="27" spans="1:6" x14ac:dyDescent="0.25">
      <c r="A27" s="7">
        <v>43777</v>
      </c>
      <c r="B27" s="9">
        <v>30</v>
      </c>
      <c r="C27" s="9">
        <v>40</v>
      </c>
      <c r="D27" s="9">
        <f>Live_Poker[[#This Row],[Cash Out]]-Live_Poker[[#This Row],[Buy in]]</f>
        <v>10</v>
      </c>
      <c r="E27">
        <v>2</v>
      </c>
      <c r="F27" t="s">
        <v>23</v>
      </c>
    </row>
    <row r="28" spans="1:6" x14ac:dyDescent="0.25">
      <c r="A28" s="7">
        <v>43791</v>
      </c>
      <c r="B28" s="9">
        <v>30</v>
      </c>
      <c r="C28" s="9">
        <v>74</v>
      </c>
      <c r="D28" s="9">
        <f>Live_Poker[[#This Row],[Cash Out]]-Live_Poker[[#This Row],[Buy in]]</f>
        <v>44</v>
      </c>
      <c r="E28">
        <v>2</v>
      </c>
      <c r="F28" t="s">
        <v>23</v>
      </c>
    </row>
    <row r="29" spans="1:6" x14ac:dyDescent="0.25">
      <c r="A29" s="7">
        <v>43819</v>
      </c>
      <c r="B29" s="9">
        <v>50</v>
      </c>
      <c r="C29" s="9">
        <v>7</v>
      </c>
      <c r="D29" s="9">
        <f>Live_Poker[[#This Row],[Cash Out]]-Live_Poker[[#This Row],[Buy in]]</f>
        <v>-43</v>
      </c>
      <c r="E29">
        <v>2</v>
      </c>
      <c r="F29" t="s">
        <v>23</v>
      </c>
    </row>
    <row r="30" spans="1:6" x14ac:dyDescent="0.25">
      <c r="A30" s="7">
        <v>43833</v>
      </c>
      <c r="B30" s="9">
        <v>30</v>
      </c>
      <c r="C30" s="9">
        <v>56</v>
      </c>
      <c r="D30" s="9">
        <f>Live_Poker[[#This Row],[Cash Out]]-Live_Poker[[#This Row],[Buy in]]</f>
        <v>26</v>
      </c>
      <c r="E30">
        <v>2</v>
      </c>
      <c r="F30" t="s">
        <v>23</v>
      </c>
    </row>
    <row r="31" spans="1:6" x14ac:dyDescent="0.25">
      <c r="A31" s="7">
        <v>43875</v>
      </c>
      <c r="B31" s="9">
        <v>30</v>
      </c>
      <c r="C31" s="9">
        <v>73</v>
      </c>
      <c r="D31" s="9">
        <f>Live_Poker[[#This Row],[Cash Out]]-Live_Poker[[#This Row],[Buy in]]</f>
        <v>43</v>
      </c>
      <c r="E31">
        <v>2</v>
      </c>
      <c r="F31" t="s">
        <v>23</v>
      </c>
    </row>
    <row r="32" spans="1:6" x14ac:dyDescent="0.25">
      <c r="A32" s="7">
        <v>43910</v>
      </c>
      <c r="B32" s="9">
        <v>20</v>
      </c>
      <c r="C32" s="9">
        <v>0</v>
      </c>
      <c r="D32" s="9">
        <f>Live_Poker[[#This Row],[Cash Out]]-Live_Poker[[#This Row],[Buy in]]</f>
        <v>-20</v>
      </c>
      <c r="E32">
        <v>1</v>
      </c>
      <c r="F32" t="s">
        <v>30</v>
      </c>
    </row>
    <row r="33" spans="1:7" x14ac:dyDescent="0.25">
      <c r="A33" s="7">
        <v>43931</v>
      </c>
      <c r="B33" s="9">
        <v>20</v>
      </c>
      <c r="C33" s="9">
        <v>0</v>
      </c>
      <c r="D33" s="9">
        <f>Live_Poker[[#This Row],[Cash Out]]-Live_Poker[[#This Row],[Buy in]]</f>
        <v>-20</v>
      </c>
      <c r="E33">
        <v>1</v>
      </c>
      <c r="F33" t="s">
        <v>30</v>
      </c>
    </row>
    <row r="34" spans="1:7" x14ac:dyDescent="0.25">
      <c r="A34" s="7">
        <v>44183</v>
      </c>
      <c r="B34" s="9">
        <v>30</v>
      </c>
      <c r="C34" s="9">
        <v>55</v>
      </c>
      <c r="D34" s="9">
        <f>Live_Poker[[#This Row],[Cash Out]]-Live_Poker[[#This Row],[Buy in]]</f>
        <v>25</v>
      </c>
      <c r="E34">
        <v>2</v>
      </c>
      <c r="F34" t="s">
        <v>23</v>
      </c>
    </row>
    <row r="35" spans="1:7" x14ac:dyDescent="0.25">
      <c r="A35" s="7">
        <v>44337</v>
      </c>
      <c r="B35" s="9">
        <v>30</v>
      </c>
      <c r="C35" s="9">
        <v>55</v>
      </c>
      <c r="D35" s="9">
        <f>Live_Poker[[#This Row],[Cash Out]]-Live_Poker[[#This Row],[Buy in]]</f>
        <v>25</v>
      </c>
      <c r="E35">
        <v>1</v>
      </c>
      <c r="F35" t="s">
        <v>23</v>
      </c>
    </row>
    <row r="36" spans="1:7" x14ac:dyDescent="0.25">
      <c r="A36" s="7">
        <v>44358</v>
      </c>
      <c r="B36" s="9">
        <v>30</v>
      </c>
      <c r="C36" s="9">
        <v>74</v>
      </c>
      <c r="D36" s="9">
        <f>Live_Poker[[#This Row],[Cash Out]]-Live_Poker[[#This Row],[Buy in]]</f>
        <v>44</v>
      </c>
      <c r="E36">
        <v>2</v>
      </c>
      <c r="F36" t="s">
        <v>23</v>
      </c>
    </row>
    <row r="37" spans="1:7" x14ac:dyDescent="0.25">
      <c r="A37" s="7">
        <v>44379</v>
      </c>
      <c r="B37" s="9">
        <v>50</v>
      </c>
      <c r="C37" s="9">
        <v>103</v>
      </c>
      <c r="D37" s="9">
        <f>Live_Poker[[#This Row],[Cash Out]]-Live_Poker[[#This Row],[Buy in]]</f>
        <v>53</v>
      </c>
      <c r="E37">
        <v>2</v>
      </c>
      <c r="F37" t="s">
        <v>23</v>
      </c>
    </row>
    <row r="38" spans="1:7" x14ac:dyDescent="0.25">
      <c r="A38" s="7">
        <v>44401</v>
      </c>
      <c r="B38" s="9">
        <v>40</v>
      </c>
      <c r="C38" s="9">
        <v>58</v>
      </c>
      <c r="D38" s="9">
        <f>Live_Poker[[#This Row],[Cash Out]]-Live_Poker[[#This Row],[Buy in]]</f>
        <v>18</v>
      </c>
      <c r="E38">
        <v>2</v>
      </c>
      <c r="F38" t="s">
        <v>23</v>
      </c>
    </row>
    <row r="39" spans="1:7" x14ac:dyDescent="0.25">
      <c r="A39" s="7">
        <v>44435</v>
      </c>
      <c r="B39" s="9">
        <v>40</v>
      </c>
      <c r="C39" s="9">
        <v>21</v>
      </c>
      <c r="D39" s="9">
        <f>Live_Poker[[#This Row],[Cash Out]]-Live_Poker[[#This Row],[Buy in]]</f>
        <v>-19</v>
      </c>
      <c r="E39">
        <v>1</v>
      </c>
      <c r="F39" t="s">
        <v>23</v>
      </c>
      <c r="G39" t="s">
        <v>77</v>
      </c>
    </row>
    <row r="40" spans="1:7" x14ac:dyDescent="0.25">
      <c r="A40" s="7">
        <v>44477</v>
      </c>
      <c r="B40" s="9">
        <v>25</v>
      </c>
      <c r="C40" s="9">
        <v>0</v>
      </c>
      <c r="D40" s="9">
        <f>Live_Poker[[#This Row],[Cash Out]]-Live_Poker[[#This Row],[Buy in]]</f>
        <v>-25</v>
      </c>
      <c r="E40">
        <v>1</v>
      </c>
      <c r="F40" t="s">
        <v>23</v>
      </c>
      <c r="G40" t="s">
        <v>78</v>
      </c>
    </row>
    <row r="41" spans="1:7" x14ac:dyDescent="0.25">
      <c r="A41" s="7">
        <v>44506</v>
      </c>
      <c r="B41" s="9">
        <v>25</v>
      </c>
      <c r="C41" s="9">
        <v>54</v>
      </c>
      <c r="D41" s="9">
        <f>Live_Poker[[#This Row],[Cash Out]]-Live_Poker[[#This Row],[Buy in]]</f>
        <v>29</v>
      </c>
      <c r="E41">
        <v>1</v>
      </c>
      <c r="F41" t="s">
        <v>23</v>
      </c>
      <c r="G41" t="s">
        <v>78</v>
      </c>
    </row>
    <row r="42" spans="1:7" x14ac:dyDescent="0.25">
      <c r="A42" s="7">
        <v>44533</v>
      </c>
      <c r="B42" s="9">
        <v>35</v>
      </c>
      <c r="C42" s="9">
        <v>35</v>
      </c>
      <c r="D42" s="9">
        <f>Live_Poker[[#This Row],[Cash Out]]-Live_Poker[[#This Row],[Buy in]]</f>
        <v>0</v>
      </c>
      <c r="E42">
        <v>2</v>
      </c>
      <c r="F42" t="s">
        <v>23</v>
      </c>
      <c r="G42" t="s">
        <v>79</v>
      </c>
    </row>
    <row r="43" spans="1:7" x14ac:dyDescent="0.25">
      <c r="A43" s="7">
        <v>44806</v>
      </c>
      <c r="B43" s="9">
        <v>50</v>
      </c>
      <c r="C43" s="9">
        <v>43</v>
      </c>
      <c r="D43" s="9">
        <f>Live_Poker[[#This Row],[Cash Out]]-Live_Poker[[#This Row],[Buy in]]</f>
        <v>-7</v>
      </c>
      <c r="E43">
        <v>2</v>
      </c>
      <c r="F43" t="s">
        <v>23</v>
      </c>
      <c r="G43" t="s">
        <v>79</v>
      </c>
    </row>
    <row r="44" spans="1:7" x14ac:dyDescent="0.25">
      <c r="A44" s="7">
        <v>44840</v>
      </c>
      <c r="B44" s="9">
        <v>25</v>
      </c>
      <c r="C44" s="9">
        <v>30</v>
      </c>
      <c r="D44" s="9">
        <f>Live_Poker[[#This Row],[Cash Out]]-Live_Poker[[#This Row],[Buy in]]</f>
        <v>5</v>
      </c>
      <c r="E44">
        <v>1</v>
      </c>
      <c r="F44" t="s">
        <v>23</v>
      </c>
      <c r="G44" t="s">
        <v>78</v>
      </c>
    </row>
    <row r="45" spans="1:7" x14ac:dyDescent="0.25">
      <c r="A45" s="7">
        <v>44876</v>
      </c>
      <c r="B45" s="9">
        <v>35</v>
      </c>
      <c r="C45" s="9">
        <v>65</v>
      </c>
      <c r="D45" s="9">
        <f>Live_Poker[[#This Row],[Cash Out]]-Live_Poker[[#This Row],[Buy in]]</f>
        <v>30</v>
      </c>
      <c r="E45">
        <v>2</v>
      </c>
      <c r="F45" t="s">
        <v>23</v>
      </c>
      <c r="G45" t="s">
        <v>79</v>
      </c>
    </row>
    <row r="46" spans="1:7" x14ac:dyDescent="0.25">
      <c r="A46" s="7">
        <v>44912</v>
      </c>
      <c r="B46" s="9">
        <v>35</v>
      </c>
      <c r="C46" s="9">
        <v>129</v>
      </c>
      <c r="D46" s="9">
        <f>Live_Poker[[#This Row],[Cash Out]]-Live_Poker[[#This Row],[Buy in]]</f>
        <v>94</v>
      </c>
      <c r="E46">
        <v>2</v>
      </c>
      <c r="F46" t="s">
        <v>23</v>
      </c>
      <c r="G46" t="s">
        <v>79</v>
      </c>
    </row>
    <row r="47" spans="1:7" x14ac:dyDescent="0.25">
      <c r="A47" s="7">
        <v>44922</v>
      </c>
      <c r="B47" s="9">
        <v>35</v>
      </c>
      <c r="C47" s="9">
        <v>53</v>
      </c>
      <c r="D47" s="9">
        <f>Live_Poker[[#This Row],[Cash Out]]-Live_Poker[[#This Row],[Buy in]]</f>
        <v>18</v>
      </c>
      <c r="E47">
        <v>2</v>
      </c>
      <c r="F47" t="s">
        <v>23</v>
      </c>
      <c r="G47" t="s">
        <v>81</v>
      </c>
    </row>
    <row r="48" spans="1:7" x14ac:dyDescent="0.25">
      <c r="A48" s="7">
        <v>44925</v>
      </c>
      <c r="B48" s="9">
        <v>35</v>
      </c>
      <c r="C48" s="9">
        <v>37</v>
      </c>
      <c r="D48" s="9">
        <f>Live_Poker[[#This Row],[Cash Out]]-Live_Poker[[#This Row],[Buy in]]</f>
        <v>2</v>
      </c>
      <c r="E48">
        <v>2</v>
      </c>
      <c r="F48" t="s">
        <v>23</v>
      </c>
    </row>
    <row r="49" spans="1:7" x14ac:dyDescent="0.25">
      <c r="A49" s="7">
        <v>44940</v>
      </c>
      <c r="B49" s="9">
        <v>35</v>
      </c>
      <c r="C49" s="9">
        <v>45</v>
      </c>
      <c r="D49" s="9">
        <f>Live_Poker[[#This Row],[Cash Out]]-Live_Poker[[#This Row],[Buy in]]</f>
        <v>10</v>
      </c>
      <c r="E49">
        <v>2</v>
      </c>
      <c r="F49" t="s">
        <v>23</v>
      </c>
      <c r="G49" t="s">
        <v>79</v>
      </c>
    </row>
    <row r="50" spans="1:7" x14ac:dyDescent="0.25">
      <c r="A50" s="7">
        <v>44967</v>
      </c>
      <c r="B50" s="9">
        <v>35</v>
      </c>
      <c r="C50" s="9">
        <v>94</v>
      </c>
      <c r="D50" s="9">
        <f>Live_Poker[[#This Row],[Cash Out]]-Live_Poker[[#This Row],[Buy in]]</f>
        <v>59</v>
      </c>
      <c r="E50">
        <v>2</v>
      </c>
      <c r="F50" t="s">
        <v>23</v>
      </c>
      <c r="G50" t="s">
        <v>79</v>
      </c>
    </row>
    <row r="51" spans="1:7" x14ac:dyDescent="0.25">
      <c r="A51" s="7">
        <v>45009</v>
      </c>
      <c r="B51" s="9">
        <v>35</v>
      </c>
      <c r="C51" s="9">
        <v>103</v>
      </c>
      <c r="D51" s="9">
        <f>Live_Poker[[#This Row],[Cash Out]]-Live_Poker[[#This Row],[Buy in]]</f>
        <v>68</v>
      </c>
      <c r="E51">
        <v>2</v>
      </c>
      <c r="F51" t="s">
        <v>23</v>
      </c>
      <c r="G51" t="s">
        <v>79</v>
      </c>
    </row>
    <row r="52" spans="1:7" x14ac:dyDescent="0.25">
      <c r="A52" s="7">
        <v>45023</v>
      </c>
      <c r="B52" s="9">
        <v>35</v>
      </c>
      <c r="C52" s="9">
        <v>69</v>
      </c>
      <c r="D52" s="9">
        <f>Live_Poker[[#This Row],[Cash Out]]-Live_Poker[[#This Row],[Buy in]]</f>
        <v>34</v>
      </c>
      <c r="E52">
        <v>2</v>
      </c>
      <c r="F52" t="s">
        <v>23</v>
      </c>
      <c r="G52" t="s">
        <v>79</v>
      </c>
    </row>
    <row r="53" spans="1:7" x14ac:dyDescent="0.25">
      <c r="A53" s="7">
        <v>45037</v>
      </c>
      <c r="B53" s="9">
        <v>35</v>
      </c>
      <c r="C53" s="9">
        <v>0</v>
      </c>
      <c r="D53" s="9">
        <f>Live_Poker[[#This Row],[Cash Out]]-Live_Poker[[#This Row],[Buy in]]</f>
        <v>-35</v>
      </c>
      <c r="E53">
        <v>2</v>
      </c>
      <c r="F53" t="s">
        <v>23</v>
      </c>
      <c r="G53" t="s">
        <v>79</v>
      </c>
    </row>
    <row r="54" spans="1:7" x14ac:dyDescent="0.25">
      <c r="A54" s="7">
        <v>45080</v>
      </c>
      <c r="B54" s="9">
        <v>40</v>
      </c>
      <c r="C54" s="9">
        <v>0</v>
      </c>
      <c r="D54" s="9">
        <f>Live_Poker[[#This Row],[Cash Out]]-Live_Poker[[#This Row],[Buy in]]</f>
        <v>-40</v>
      </c>
      <c r="E54">
        <v>1</v>
      </c>
      <c r="F54" t="s">
        <v>27</v>
      </c>
      <c r="G54" t="s">
        <v>92</v>
      </c>
    </row>
    <row r="55" spans="1:7" x14ac:dyDescent="0.25">
      <c r="A55" s="7">
        <v>45094</v>
      </c>
      <c r="B55" s="9">
        <v>50</v>
      </c>
      <c r="C55" s="9">
        <v>73</v>
      </c>
      <c r="D55" s="9">
        <f>Live_Poker[[#This Row],[Cash Out]]-Live_Poker[[#This Row],[Buy in]]</f>
        <v>23</v>
      </c>
      <c r="E55">
        <v>2</v>
      </c>
      <c r="F55" t="s">
        <v>23</v>
      </c>
      <c r="G55" t="s">
        <v>79</v>
      </c>
    </row>
    <row r="56" spans="1:7" x14ac:dyDescent="0.25">
      <c r="A56" s="7">
        <v>45170</v>
      </c>
      <c r="B56" s="9">
        <v>35</v>
      </c>
      <c r="C56" s="9">
        <v>46</v>
      </c>
      <c r="D56" s="9">
        <f>Live_Poker[[#This Row],[Cash Out]]-Live_Poker[[#This Row],[Buy in]]</f>
        <v>11</v>
      </c>
      <c r="E56">
        <v>2</v>
      </c>
      <c r="F56" t="s">
        <v>23</v>
      </c>
      <c r="G56" t="s">
        <v>79</v>
      </c>
    </row>
    <row r="57" spans="1:7" x14ac:dyDescent="0.25">
      <c r="A57" s="7">
        <v>45184</v>
      </c>
      <c r="B57" s="9">
        <v>30</v>
      </c>
      <c r="C57" s="9">
        <v>75</v>
      </c>
      <c r="D57" s="9">
        <f>Live_Poker[[#This Row],[Cash Out]]-Live_Poker[[#This Row],[Buy in]]</f>
        <v>45</v>
      </c>
      <c r="E57">
        <v>1</v>
      </c>
      <c r="F57" t="s">
        <v>27</v>
      </c>
      <c r="G57" t="s">
        <v>92</v>
      </c>
    </row>
    <row r="58" spans="1:7" x14ac:dyDescent="0.25">
      <c r="A58" s="7">
        <v>45199</v>
      </c>
      <c r="B58" s="9">
        <v>35</v>
      </c>
      <c r="C58" s="9">
        <v>54</v>
      </c>
      <c r="D58" s="9">
        <f>Live_Poker[[#This Row],[Cash Out]]-Live_Poker[[#This Row],[Buy in]]</f>
        <v>19</v>
      </c>
      <c r="E58">
        <v>2</v>
      </c>
      <c r="F58" t="s">
        <v>27</v>
      </c>
      <c r="G58" t="s">
        <v>79</v>
      </c>
    </row>
    <row r="59" spans="1:7" x14ac:dyDescent="0.25">
      <c r="A59" s="7">
        <v>45212</v>
      </c>
      <c r="B59" s="9">
        <v>35</v>
      </c>
      <c r="C59" s="9">
        <v>0</v>
      </c>
      <c r="D59" s="9">
        <f>Live_Poker[[#This Row],[Cash Out]]-Live_Poker[[#This Row],[Buy in]]</f>
        <v>-35</v>
      </c>
      <c r="E59">
        <v>1</v>
      </c>
      <c r="F59" t="s">
        <v>27</v>
      </c>
      <c r="G59" t="s">
        <v>92</v>
      </c>
    </row>
    <row r="60" spans="1:7" x14ac:dyDescent="0.25">
      <c r="A60" s="7">
        <v>45219</v>
      </c>
      <c r="B60" s="9">
        <v>35</v>
      </c>
      <c r="C60" s="9">
        <v>38</v>
      </c>
      <c r="D60" s="9">
        <f>Live_Poker[[#This Row],[Cash Out]]-Live_Poker[[#This Row],[Buy in]]</f>
        <v>3</v>
      </c>
      <c r="E60">
        <v>2</v>
      </c>
      <c r="F60" t="s">
        <v>23</v>
      </c>
      <c r="G60" t="s">
        <v>79</v>
      </c>
    </row>
    <row r="61" spans="1:7" x14ac:dyDescent="0.25">
      <c r="A61" s="7">
        <v>45240</v>
      </c>
      <c r="B61" s="9">
        <v>35</v>
      </c>
      <c r="C61" s="9">
        <v>0</v>
      </c>
      <c r="D61" s="9">
        <f>Live_Poker[[#This Row],[Cash Out]]-Live_Poker[[#This Row],[Buy in]]</f>
        <v>-35</v>
      </c>
      <c r="E61">
        <v>1</v>
      </c>
      <c r="F61" t="s">
        <v>27</v>
      </c>
      <c r="G61" t="s">
        <v>92</v>
      </c>
    </row>
    <row r="62" spans="1:7" x14ac:dyDescent="0.25">
      <c r="A62" s="7">
        <v>45247</v>
      </c>
      <c r="B62" s="9">
        <v>30</v>
      </c>
      <c r="C62" s="9">
        <v>0</v>
      </c>
      <c r="D62" s="9">
        <f>Live_Poker[[#This Row],[Cash Out]]-Live_Poker[[#This Row],[Buy in]]</f>
        <v>-30</v>
      </c>
      <c r="E62">
        <v>1</v>
      </c>
      <c r="F62" t="s">
        <v>23</v>
      </c>
      <c r="G62" t="s">
        <v>97</v>
      </c>
    </row>
    <row r="63" spans="1:7" x14ac:dyDescent="0.25">
      <c r="A63" s="7">
        <v>45288</v>
      </c>
      <c r="B63" s="9">
        <v>50</v>
      </c>
      <c r="C63" s="9">
        <v>95</v>
      </c>
      <c r="D63" s="9">
        <f>Live_Poker[[#This Row],[Cash Out]]-Live_Poker[[#This Row],[Buy in]]</f>
        <v>45</v>
      </c>
      <c r="E63">
        <v>2</v>
      </c>
      <c r="F63" t="s">
        <v>23</v>
      </c>
      <c r="G63" t="s">
        <v>79</v>
      </c>
    </row>
    <row r="64" spans="1:7" x14ac:dyDescent="0.25">
      <c r="A64" s="7">
        <v>45317</v>
      </c>
      <c r="B64" s="9">
        <v>50</v>
      </c>
      <c r="C64" s="9">
        <v>0</v>
      </c>
      <c r="D64" s="9">
        <f>Live_Poker[[#This Row],[Cash Out]]-Live_Poker[[#This Row],[Buy in]]</f>
        <v>-50</v>
      </c>
      <c r="E64">
        <v>2</v>
      </c>
      <c r="F64" t="s">
        <v>23</v>
      </c>
      <c r="G64" t="s">
        <v>79</v>
      </c>
    </row>
    <row r="65" spans="1:7" x14ac:dyDescent="0.25">
      <c r="A65" s="7">
        <v>45381</v>
      </c>
      <c r="B65" s="9">
        <v>30</v>
      </c>
      <c r="C65" s="9">
        <v>16</v>
      </c>
      <c r="D65" s="9">
        <f>Live_Poker[[#This Row],[Cash Out]]-Live_Poker[[#This Row],[Buy in]]</f>
        <v>-14</v>
      </c>
      <c r="E65">
        <v>1</v>
      </c>
      <c r="F65" t="s">
        <v>23</v>
      </c>
      <c r="G65" t="s">
        <v>97</v>
      </c>
    </row>
    <row r="66" spans="1:7" x14ac:dyDescent="0.25">
      <c r="A66" s="7">
        <v>45430</v>
      </c>
      <c r="B66" s="9">
        <v>30</v>
      </c>
      <c r="C66" s="9">
        <v>24</v>
      </c>
      <c r="D66" s="9">
        <f>Live_Poker[[#This Row],[Cash Out]]-Live_Poker[[#This Row],[Buy in]]</f>
        <v>-6</v>
      </c>
      <c r="E66">
        <v>1</v>
      </c>
      <c r="F66" t="s">
        <v>23</v>
      </c>
      <c r="G66" t="s">
        <v>97</v>
      </c>
    </row>
    <row r="67" spans="1:7" x14ac:dyDescent="0.25">
      <c r="A67" s="7">
        <v>45457</v>
      </c>
      <c r="B67" s="9">
        <v>30</v>
      </c>
      <c r="C67" s="9">
        <v>40</v>
      </c>
      <c r="D67" s="9">
        <f>Live_Poker[[#This Row],[Cash Out]]-Live_Poker[[#This Row],[Buy in]]</f>
        <v>10</v>
      </c>
      <c r="E67">
        <v>1</v>
      </c>
      <c r="F67" t="s">
        <v>23</v>
      </c>
      <c r="G67" t="s">
        <v>97</v>
      </c>
    </row>
    <row r="68" spans="1:7" x14ac:dyDescent="0.25">
      <c r="A68" s="7">
        <v>45485</v>
      </c>
      <c r="B68" s="9">
        <v>50</v>
      </c>
      <c r="C68" s="9">
        <v>30</v>
      </c>
      <c r="D68" s="9">
        <f>Live_Poker[[#This Row],[Cash Out]]-Live_Poker[[#This Row],[Buy in]]</f>
        <v>-20</v>
      </c>
      <c r="E68">
        <v>1</v>
      </c>
      <c r="F68" t="s">
        <v>23</v>
      </c>
      <c r="G68" t="s">
        <v>97</v>
      </c>
    </row>
    <row r="69" spans="1:7" x14ac:dyDescent="0.25">
      <c r="A69" s="7">
        <v>45541</v>
      </c>
      <c r="B69" s="9">
        <v>50</v>
      </c>
      <c r="C69" s="9">
        <v>0</v>
      </c>
      <c r="D69" s="9">
        <f>Live_Poker[[#This Row],[Cash Out]]-Live_Poker[[#This Row],[Buy in]]</f>
        <v>-50</v>
      </c>
      <c r="E69">
        <v>1</v>
      </c>
      <c r="F69" t="s">
        <v>23</v>
      </c>
      <c r="G69" t="s">
        <v>97</v>
      </c>
    </row>
    <row r="70" spans="1:7" x14ac:dyDescent="0.25">
      <c r="A70" s="7">
        <v>45583</v>
      </c>
      <c r="B70" s="9">
        <v>30</v>
      </c>
      <c r="C70" s="9">
        <v>0</v>
      </c>
      <c r="D70" s="9">
        <f>Live_Poker[[#This Row],[Cash Out]]-Live_Poker[[#This Row],[Buy in]]</f>
        <v>-30</v>
      </c>
      <c r="E70">
        <v>1</v>
      </c>
      <c r="F70" t="s">
        <v>23</v>
      </c>
      <c r="G70" t="s">
        <v>97</v>
      </c>
    </row>
    <row r="71" spans="1:7" x14ac:dyDescent="0.25">
      <c r="A71" s="7">
        <v>45618</v>
      </c>
      <c r="B71" s="9">
        <v>30</v>
      </c>
      <c r="C71" s="9">
        <v>85</v>
      </c>
      <c r="D71" s="9">
        <f>Live_Poker[[#This Row],[Cash Out]]-Live_Poker[[#This Row],[Buy in]]</f>
        <v>55</v>
      </c>
      <c r="E71">
        <v>1</v>
      </c>
      <c r="F71" t="s">
        <v>23</v>
      </c>
      <c r="G71" t="s">
        <v>97</v>
      </c>
    </row>
    <row r="72" spans="1:7" x14ac:dyDescent="0.25">
      <c r="A72" s="7">
        <v>45653</v>
      </c>
      <c r="B72" s="9">
        <v>30</v>
      </c>
      <c r="C72" s="9">
        <v>105</v>
      </c>
      <c r="D72" s="9">
        <f>Live_Poker[[#This Row],[Cash Out]]-Live_Poker[[#This Row],[Buy in]]</f>
        <v>75</v>
      </c>
      <c r="E72">
        <v>1</v>
      </c>
      <c r="F72" t="s">
        <v>23</v>
      </c>
      <c r="G72" t="s">
        <v>97</v>
      </c>
    </row>
    <row r="73" spans="1:7" x14ac:dyDescent="0.25">
      <c r="A73" s="7">
        <v>45681</v>
      </c>
      <c r="B73" s="9">
        <v>30</v>
      </c>
      <c r="C73" s="9">
        <v>105</v>
      </c>
      <c r="D73" s="9">
        <f>Live_Poker[[#This Row],[Cash Out]]-Live_Poker[[#This Row],[Buy in]]</f>
        <v>75</v>
      </c>
      <c r="E73">
        <v>1</v>
      </c>
      <c r="F73" t="s">
        <v>23</v>
      </c>
      <c r="G73" t="s">
        <v>97</v>
      </c>
    </row>
    <row r="74" spans="1:7" x14ac:dyDescent="0.25">
      <c r="A74" s="7">
        <v>45709</v>
      </c>
      <c r="B74" s="9">
        <v>30</v>
      </c>
      <c r="C74" s="9">
        <v>55</v>
      </c>
      <c r="D74" s="9">
        <f>Live_Poker[[#This Row],[Cash Out]]-Live_Poker[[#This Row],[Buy in]]</f>
        <v>25</v>
      </c>
      <c r="E74">
        <v>1</v>
      </c>
      <c r="F74" t="s">
        <v>23</v>
      </c>
      <c r="G74" t="s">
        <v>97</v>
      </c>
    </row>
    <row r="75" spans="1:7" x14ac:dyDescent="0.25">
      <c r="A75" s="8" t="s">
        <v>9</v>
      </c>
      <c r="B75" s="9">
        <f>SUBTOTAL(109,Live_Poker[Buy in])</f>
        <v>2510</v>
      </c>
      <c r="C75" s="9">
        <f>SUBTOTAL(109,Live_Poker[Cash Out])</f>
        <v>3489.5</v>
      </c>
      <c r="D75" s="9">
        <f>SUBTOTAL(109,Live_Poker[Profit])</f>
        <v>979.5</v>
      </c>
      <c r="E75">
        <f>SUBTOTAL(109,Live_Poker[Hold EmTourney played])</f>
        <v>124</v>
      </c>
      <c r="F75" s="14">
        <f>SUBTOTAL(103,Live_Poker[Game type])</f>
        <v>73</v>
      </c>
    </row>
    <row r="76" spans="1:7" x14ac:dyDescent="0.25">
      <c r="A76" s="7" t="s">
        <v>75</v>
      </c>
      <c r="C76" s="19">
        <f>(B79/B77)</f>
        <v>0.3902390438247012</v>
      </c>
    </row>
    <row r="77" spans="1:7" x14ac:dyDescent="0.25">
      <c r="A77" s="10" t="s">
        <v>12</v>
      </c>
      <c r="B77" s="11">
        <f>Live_Poker[[#Totals],[Buy in]]</f>
        <v>2510</v>
      </c>
      <c r="D77" s="7" t="s">
        <v>76</v>
      </c>
    </row>
    <row r="78" spans="1:7" x14ac:dyDescent="0.25">
      <c r="A78" s="10" t="s">
        <v>14</v>
      </c>
      <c r="B78" s="11">
        <f>Live_Poker[[#Totals],[Cash Out]]</f>
        <v>3489.5</v>
      </c>
    </row>
    <row r="79" spans="1:7" x14ac:dyDescent="0.25">
      <c r="A79" s="17" t="s">
        <v>16</v>
      </c>
      <c r="B79" s="16">
        <f>B78-B77</f>
        <v>979.5</v>
      </c>
    </row>
    <row r="80" spans="1:7" x14ac:dyDescent="0.25">
      <c r="A80" s="10" t="s">
        <v>17</v>
      </c>
      <c r="B80" s="12">
        <f>B79/B77</f>
        <v>0.3902390438247012</v>
      </c>
    </row>
    <row r="81" spans="1:2" x14ac:dyDescent="0.25">
      <c r="A81" s="10" t="s">
        <v>15</v>
      </c>
      <c r="B81" s="18">
        <f>B80+1</f>
        <v>1.3902390438247012</v>
      </c>
    </row>
    <row r="82" spans="1:2" x14ac:dyDescent="0.25">
      <c r="A82" s="10" t="s">
        <v>73</v>
      </c>
      <c r="B82" s="11">
        <f>Live_Poker[[#Totals],[Buy in]]/Live_Poker[[#Totals],[Game type]]</f>
        <v>34.38356164383562</v>
      </c>
    </row>
    <row r="83" spans="1:2" x14ac:dyDescent="0.25">
      <c r="A83" s="10" t="s">
        <v>74</v>
      </c>
      <c r="B83" s="11">
        <f>Live_Poker[[#Totals],[Cash Out]]/Live_Poker[[#Totals],[Game type]]</f>
        <v>47.801369863013697</v>
      </c>
    </row>
  </sheetData>
  <pageMargins left="0.7" right="0.7" top="0.75" bottom="0.75" header="0.3" footer="0.3"/>
  <pageSetup paperSize="9" orientation="portrait" horizontalDpi="4294967293" verticalDpi="4294967293" r:id="rId1"/>
  <legacyDrawing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9A1F570-B8E1-417F-92D3-1040BE6ED189}">
          <x14:formula1>
            <xm:f>Categories!$A$3:$A$7</xm:f>
          </x14:formula1>
          <xm:sqref>G6:G11 F2:F74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L29"/>
  <sheetViews>
    <sheetView workbookViewId="0">
      <selection activeCell="D20" sqref="D20"/>
    </sheetView>
  </sheetViews>
  <sheetFormatPr defaultRowHeight="15" x14ac:dyDescent="0.25"/>
  <cols>
    <col min="1" max="1" width="17.28515625" style="3" bestFit="1" customWidth="1"/>
    <col min="2" max="2" width="9.140625" style="2"/>
    <col min="3" max="3" width="12.7109375" style="2" customWidth="1"/>
    <col min="4" max="4" width="13.5703125" style="2" customWidth="1"/>
    <col min="5" max="5" width="8.28515625" style="1" customWidth="1"/>
    <col min="6" max="6" width="10.42578125" bestFit="1" customWidth="1"/>
    <col min="7" max="7" width="9.140625" style="5"/>
    <col min="8" max="8" width="18" bestFit="1" customWidth="1"/>
    <col min="9" max="9" width="18.42578125" bestFit="1" customWidth="1"/>
    <col min="10" max="11" width="21" bestFit="1" customWidth="1"/>
    <col min="12" max="12" width="32.42578125" customWidth="1"/>
  </cols>
  <sheetData>
    <row r="1" spans="1:12" x14ac:dyDescent="0.25">
      <c r="A1" s="3" t="s">
        <v>0</v>
      </c>
      <c r="B1" s="2" t="s">
        <v>1</v>
      </c>
      <c r="C1" s="2" t="s">
        <v>2</v>
      </c>
      <c r="D1" s="2" t="s">
        <v>8</v>
      </c>
      <c r="E1" s="4" t="s">
        <v>3</v>
      </c>
      <c r="F1" s="4" t="s">
        <v>24</v>
      </c>
      <c r="G1" t="s">
        <v>4</v>
      </c>
      <c r="H1" s="5" t="s">
        <v>6</v>
      </c>
      <c r="I1" t="s">
        <v>10</v>
      </c>
      <c r="J1" t="s">
        <v>11</v>
      </c>
      <c r="K1" t="s">
        <v>26</v>
      </c>
      <c r="L1" t="s">
        <v>20</v>
      </c>
    </row>
    <row r="2" spans="1:12" x14ac:dyDescent="0.25">
      <c r="A2" s="3">
        <v>42904</v>
      </c>
      <c r="B2" s="2">
        <v>10.32</v>
      </c>
      <c r="C2" s="2">
        <v>18.66</v>
      </c>
      <c r="D2" s="2">
        <f t="shared" ref="D2:D7" si="0">C2-B2</f>
        <v>8.34</v>
      </c>
      <c r="E2" s="4">
        <v>0.10416666666666667</v>
      </c>
      <c r="F2" s="4" t="s">
        <v>25</v>
      </c>
      <c r="G2" t="s">
        <v>5</v>
      </c>
      <c r="H2" s="5" t="s">
        <v>7</v>
      </c>
      <c r="I2">
        <v>4</v>
      </c>
      <c r="J2">
        <v>4</v>
      </c>
      <c r="K2" s="2">
        <v>6</v>
      </c>
      <c r="L2" s="2"/>
    </row>
    <row r="3" spans="1:12" x14ac:dyDescent="0.25">
      <c r="A3" s="3">
        <v>42907</v>
      </c>
      <c r="B3" s="2">
        <f>C2</f>
        <v>18.66</v>
      </c>
      <c r="C3" s="2">
        <v>17.190000000000001</v>
      </c>
      <c r="D3" s="2">
        <f t="shared" si="0"/>
        <v>-1.4699999999999989</v>
      </c>
      <c r="E3" s="4">
        <v>4.1666666666666664E-2</v>
      </c>
      <c r="F3" s="4" t="s">
        <v>25</v>
      </c>
      <c r="G3" t="s">
        <v>5</v>
      </c>
      <c r="H3" s="5">
        <v>1.5</v>
      </c>
      <c r="I3">
        <v>2</v>
      </c>
      <c r="J3">
        <v>1</v>
      </c>
      <c r="K3" s="2">
        <v>3</v>
      </c>
      <c r="L3" s="2"/>
    </row>
    <row r="4" spans="1:12" x14ac:dyDescent="0.25">
      <c r="A4" s="3">
        <v>42911</v>
      </c>
      <c r="B4" s="2">
        <f t="shared" ref="B4:B7" si="1">C3</f>
        <v>17.190000000000001</v>
      </c>
      <c r="C4" s="2">
        <v>19.559999999999999</v>
      </c>
      <c r="D4" s="2">
        <f t="shared" si="0"/>
        <v>2.3699999999999974</v>
      </c>
      <c r="E4" s="4">
        <v>8.3333333333333329E-2</v>
      </c>
      <c r="F4" s="4" t="s">
        <v>25</v>
      </c>
      <c r="G4" t="s">
        <v>5</v>
      </c>
      <c r="H4" s="5">
        <v>1.5</v>
      </c>
      <c r="I4">
        <v>4</v>
      </c>
      <c r="J4">
        <v>3</v>
      </c>
      <c r="K4" s="2">
        <v>6</v>
      </c>
      <c r="L4" s="2"/>
    </row>
    <row r="5" spans="1:12" x14ac:dyDescent="0.25">
      <c r="A5" s="3">
        <v>42919</v>
      </c>
      <c r="B5" s="2">
        <f t="shared" si="1"/>
        <v>19.559999999999999</v>
      </c>
      <c r="C5" s="2">
        <v>22.04</v>
      </c>
      <c r="D5" s="2">
        <f t="shared" si="0"/>
        <v>2.4800000000000004</v>
      </c>
      <c r="E5" s="4">
        <v>0.10416666666666667</v>
      </c>
      <c r="F5" s="4" t="s">
        <v>25</v>
      </c>
      <c r="G5" t="s">
        <v>5</v>
      </c>
      <c r="H5" s="5">
        <v>1.5</v>
      </c>
      <c r="I5">
        <v>6</v>
      </c>
      <c r="J5">
        <v>3</v>
      </c>
      <c r="K5" s="2">
        <v>9</v>
      </c>
      <c r="L5" s="2"/>
    </row>
    <row r="6" spans="1:12" x14ac:dyDescent="0.25">
      <c r="A6" s="3">
        <v>42920</v>
      </c>
      <c r="B6" s="2">
        <f t="shared" si="1"/>
        <v>22.04</v>
      </c>
      <c r="C6" s="2">
        <v>22.73</v>
      </c>
      <c r="D6" s="2">
        <f t="shared" si="0"/>
        <v>0.69000000000000128</v>
      </c>
      <c r="E6" s="4">
        <v>0.10416666666666667</v>
      </c>
      <c r="F6" s="4" t="s">
        <v>25</v>
      </c>
      <c r="G6" t="s">
        <v>5</v>
      </c>
      <c r="H6" s="5">
        <v>1.5</v>
      </c>
      <c r="I6">
        <v>4</v>
      </c>
      <c r="J6">
        <v>2</v>
      </c>
      <c r="K6" s="2">
        <v>4.5</v>
      </c>
      <c r="L6" s="2"/>
    </row>
    <row r="7" spans="1:12" x14ac:dyDescent="0.25">
      <c r="A7" s="3">
        <v>42925</v>
      </c>
      <c r="B7" s="2">
        <f t="shared" si="1"/>
        <v>22.73</v>
      </c>
      <c r="C7" s="2">
        <v>22.55</v>
      </c>
      <c r="D7" s="2">
        <f t="shared" si="0"/>
        <v>-0.17999999999999972</v>
      </c>
      <c r="E7" s="4">
        <v>8.3333333333333329E-2</v>
      </c>
      <c r="F7" s="4" t="s">
        <v>25</v>
      </c>
      <c r="G7" t="s">
        <v>5</v>
      </c>
      <c r="H7" s="5">
        <v>1.5</v>
      </c>
      <c r="I7">
        <v>5</v>
      </c>
      <c r="J7">
        <v>2</v>
      </c>
      <c r="K7" s="2">
        <v>9.5</v>
      </c>
      <c r="L7" s="2" t="s">
        <v>21</v>
      </c>
    </row>
    <row r="8" spans="1:12" x14ac:dyDescent="0.25">
      <c r="A8" s="3">
        <v>43097</v>
      </c>
      <c r="B8" s="2">
        <v>22.55</v>
      </c>
      <c r="C8" s="2">
        <v>19.55</v>
      </c>
      <c r="D8" s="2">
        <f t="shared" ref="D8:D13" si="2">C8-B8</f>
        <v>-3</v>
      </c>
      <c r="E8" s="4">
        <v>3.125E-2</v>
      </c>
      <c r="F8" s="4" t="s">
        <v>25</v>
      </c>
      <c r="G8" t="s">
        <v>5</v>
      </c>
      <c r="H8" s="5">
        <v>1.5</v>
      </c>
      <c r="I8">
        <v>2</v>
      </c>
      <c r="J8">
        <v>0</v>
      </c>
      <c r="K8" s="2">
        <v>3</v>
      </c>
      <c r="L8" s="2"/>
    </row>
    <row r="9" spans="1:12" x14ac:dyDescent="0.25">
      <c r="A9" s="3">
        <v>43938</v>
      </c>
      <c r="B9" s="2">
        <v>62.85</v>
      </c>
      <c r="C9" s="2">
        <v>64.83</v>
      </c>
      <c r="D9" s="2">
        <f t="shared" si="2"/>
        <v>1.9799999999999969</v>
      </c>
      <c r="E9" s="4">
        <v>0.125</v>
      </c>
      <c r="F9" s="4" t="s">
        <v>25</v>
      </c>
      <c r="G9" t="s">
        <v>5</v>
      </c>
      <c r="H9" s="5">
        <v>3.5</v>
      </c>
      <c r="I9">
        <v>4</v>
      </c>
      <c r="J9">
        <v>2</v>
      </c>
      <c r="K9" s="2">
        <v>14</v>
      </c>
      <c r="L9" s="2"/>
    </row>
    <row r="10" spans="1:12" x14ac:dyDescent="0.25">
      <c r="A10" s="3">
        <v>43939</v>
      </c>
      <c r="B10" s="2">
        <v>64.83</v>
      </c>
      <c r="C10" s="2">
        <v>67.75</v>
      </c>
      <c r="D10" s="2">
        <f t="shared" si="2"/>
        <v>2.9200000000000017</v>
      </c>
      <c r="E10" s="4">
        <v>4.1666666666666664E-2</v>
      </c>
      <c r="F10" s="4" t="s">
        <v>25</v>
      </c>
      <c r="G10" t="s">
        <v>5</v>
      </c>
      <c r="H10" s="5">
        <v>3.5</v>
      </c>
      <c r="I10">
        <v>1</v>
      </c>
      <c r="J10">
        <v>1</v>
      </c>
      <c r="K10" s="2">
        <v>3.5</v>
      </c>
      <c r="L10" s="2"/>
    </row>
    <row r="11" spans="1:12" x14ac:dyDescent="0.25">
      <c r="A11" s="3">
        <v>43940</v>
      </c>
      <c r="B11" s="2">
        <f>C10</f>
        <v>67.75</v>
      </c>
      <c r="C11" s="2">
        <v>70.709999999999994</v>
      </c>
      <c r="D11" s="2">
        <f t="shared" si="2"/>
        <v>2.9599999999999937</v>
      </c>
      <c r="E11" s="4">
        <v>0.10416666666666667</v>
      </c>
      <c r="F11" s="4" t="s">
        <v>25</v>
      </c>
      <c r="G11" t="s">
        <v>5</v>
      </c>
      <c r="H11" s="5">
        <v>3.5</v>
      </c>
      <c r="I11">
        <v>3</v>
      </c>
      <c r="J11">
        <v>2</v>
      </c>
      <c r="K11" s="2">
        <v>10.5</v>
      </c>
      <c r="L11" s="2"/>
    </row>
    <row r="12" spans="1:12" x14ac:dyDescent="0.25">
      <c r="A12" s="3">
        <v>43942</v>
      </c>
      <c r="B12" s="2">
        <v>70.709999999999994</v>
      </c>
      <c r="C12" s="2">
        <v>67.209999999999994</v>
      </c>
      <c r="D12" s="2">
        <f t="shared" si="2"/>
        <v>-3.5</v>
      </c>
      <c r="E12" s="4">
        <v>2.0833333333333332E-2</v>
      </c>
      <c r="F12" s="4" t="s">
        <v>25</v>
      </c>
      <c r="G12" t="s">
        <v>5</v>
      </c>
      <c r="H12" s="5">
        <v>3.5</v>
      </c>
      <c r="I12">
        <v>1</v>
      </c>
      <c r="J12">
        <v>0</v>
      </c>
      <c r="K12" s="2">
        <v>3.5</v>
      </c>
      <c r="L12" s="2"/>
    </row>
    <row r="13" spans="1:12" x14ac:dyDescent="0.25">
      <c r="A13" s="3">
        <v>43943</v>
      </c>
      <c r="B13" s="2">
        <v>67.209999999999994</v>
      </c>
      <c r="C13" s="2">
        <v>68.02</v>
      </c>
      <c r="D13" s="2">
        <f t="shared" si="2"/>
        <v>0.81000000000000227</v>
      </c>
      <c r="E13" s="4">
        <v>4.1666666666666664E-2</v>
      </c>
      <c r="F13" s="4" t="s">
        <v>25</v>
      </c>
      <c r="G13" t="s">
        <v>5</v>
      </c>
      <c r="H13" s="5">
        <v>3.5</v>
      </c>
      <c r="I13">
        <v>1</v>
      </c>
      <c r="J13">
        <v>1</v>
      </c>
      <c r="K13" s="2">
        <v>3.5</v>
      </c>
      <c r="L13" s="2"/>
    </row>
    <row r="14" spans="1:12" x14ac:dyDescent="0.25">
      <c r="A14" s="3">
        <v>43948</v>
      </c>
      <c r="B14" s="2">
        <v>68.02</v>
      </c>
      <c r="C14" s="2">
        <v>73.12</v>
      </c>
      <c r="D14" s="2">
        <f t="shared" ref="D14:D19" si="3">C14-B14</f>
        <v>5.1000000000000085</v>
      </c>
      <c r="E14" s="4">
        <v>4.1666666666666664E-2</v>
      </c>
      <c r="F14" s="4" t="s">
        <v>25</v>
      </c>
      <c r="G14" t="s">
        <v>5</v>
      </c>
      <c r="H14" s="5">
        <v>3.5</v>
      </c>
      <c r="I14">
        <v>1</v>
      </c>
      <c r="J14">
        <v>1</v>
      </c>
      <c r="K14" s="2">
        <v>3.5</v>
      </c>
      <c r="L14" s="2"/>
    </row>
    <row r="15" spans="1:12" x14ac:dyDescent="0.25">
      <c r="A15" s="3">
        <v>43949</v>
      </c>
      <c r="B15" s="2">
        <v>73.12</v>
      </c>
      <c r="C15" s="2">
        <v>73.900000000000006</v>
      </c>
      <c r="D15" s="2">
        <f t="shared" si="3"/>
        <v>0.78000000000000114</v>
      </c>
      <c r="E15" s="4">
        <v>4.1666666666666664E-2</v>
      </c>
      <c r="F15" s="4" t="s">
        <v>25</v>
      </c>
      <c r="G15" t="s">
        <v>5</v>
      </c>
      <c r="H15" s="5">
        <v>3.5</v>
      </c>
      <c r="I15">
        <v>1</v>
      </c>
      <c r="J15">
        <v>1</v>
      </c>
      <c r="K15" s="2">
        <v>3.5</v>
      </c>
      <c r="L15" s="2"/>
    </row>
    <row r="16" spans="1:12" x14ac:dyDescent="0.25">
      <c r="A16" s="3">
        <v>43950</v>
      </c>
      <c r="B16" s="2">
        <v>73.900000000000006</v>
      </c>
      <c r="C16" s="2">
        <v>77.239999999999995</v>
      </c>
      <c r="D16" s="2">
        <f t="shared" si="3"/>
        <v>3.3399999999999892</v>
      </c>
      <c r="E16" s="4">
        <v>4.1666666666666664E-2</v>
      </c>
      <c r="F16" s="4" t="s">
        <v>25</v>
      </c>
      <c r="G16" t="s">
        <v>5</v>
      </c>
      <c r="H16" s="5">
        <v>3.5</v>
      </c>
      <c r="I16">
        <v>1</v>
      </c>
      <c r="J16">
        <v>1</v>
      </c>
      <c r="K16" s="2">
        <v>3.5</v>
      </c>
      <c r="L16" s="2"/>
    </row>
    <row r="17" spans="1:12" x14ac:dyDescent="0.25">
      <c r="A17" s="3">
        <v>43951</v>
      </c>
      <c r="B17" s="2">
        <v>77.239999999999995</v>
      </c>
      <c r="C17" s="2">
        <v>73.739999999999995</v>
      </c>
      <c r="D17" s="2">
        <f t="shared" si="3"/>
        <v>-3.5</v>
      </c>
      <c r="E17" s="4">
        <v>2.0833333333333332E-2</v>
      </c>
      <c r="F17" s="4" t="s">
        <v>25</v>
      </c>
      <c r="G17" t="s">
        <v>5</v>
      </c>
      <c r="H17" s="5">
        <v>3.5</v>
      </c>
      <c r="I17">
        <v>1</v>
      </c>
      <c r="J17">
        <v>0</v>
      </c>
      <c r="K17" s="2">
        <v>3.5</v>
      </c>
      <c r="L17" s="2"/>
    </row>
    <row r="18" spans="1:12" x14ac:dyDescent="0.25">
      <c r="A18" s="3">
        <v>43952</v>
      </c>
      <c r="B18" s="2">
        <v>73.739999999999995</v>
      </c>
      <c r="C18" s="2">
        <v>73.150000000000006</v>
      </c>
      <c r="D18" s="2">
        <f t="shared" si="3"/>
        <v>-0.5899999999999892</v>
      </c>
      <c r="E18" s="4">
        <v>4.1666666666666664E-2</v>
      </c>
      <c r="F18" s="4" t="s">
        <v>25</v>
      </c>
      <c r="G18" t="s">
        <v>5</v>
      </c>
      <c r="H18" s="5">
        <v>3.5</v>
      </c>
      <c r="I18">
        <v>2</v>
      </c>
      <c r="J18">
        <v>1</v>
      </c>
      <c r="K18" s="2">
        <v>7</v>
      </c>
      <c r="L18" s="2"/>
    </row>
    <row r="19" spans="1:12" x14ac:dyDescent="0.25">
      <c r="A19" s="3">
        <v>43959</v>
      </c>
      <c r="B19" s="2">
        <v>73.150000000000006</v>
      </c>
      <c r="C19" s="2">
        <v>74.739999999999995</v>
      </c>
      <c r="D19" s="2">
        <f t="shared" si="3"/>
        <v>1.5899999999999892</v>
      </c>
      <c r="E19" s="4">
        <v>4.1666666666666664E-2</v>
      </c>
      <c r="F19" s="4" t="s">
        <v>25</v>
      </c>
      <c r="G19" t="s">
        <v>5</v>
      </c>
      <c r="H19" s="5">
        <v>3.5</v>
      </c>
      <c r="I19">
        <v>1</v>
      </c>
      <c r="J19">
        <v>1</v>
      </c>
      <c r="K19" s="2">
        <v>3.5</v>
      </c>
      <c r="L19" s="2"/>
    </row>
    <row r="20" spans="1:12" x14ac:dyDescent="0.25">
      <c r="A20" s="3">
        <v>43966</v>
      </c>
      <c r="B20" s="2">
        <v>74.739999999999995</v>
      </c>
      <c r="C20" s="2">
        <v>76.02</v>
      </c>
      <c r="D20" s="2">
        <f>C20-B20</f>
        <v>1.2800000000000011</v>
      </c>
      <c r="E20" s="4">
        <v>4.1666666666666664E-2</v>
      </c>
      <c r="F20" s="4" t="s">
        <v>25</v>
      </c>
      <c r="G20" t="s">
        <v>5</v>
      </c>
      <c r="H20" s="5">
        <v>3.5</v>
      </c>
      <c r="I20">
        <v>2</v>
      </c>
      <c r="J20">
        <v>1</v>
      </c>
      <c r="K20" s="2">
        <v>3.5</v>
      </c>
      <c r="L20" s="2"/>
    </row>
    <row r="21" spans="1:12" x14ac:dyDescent="0.25">
      <c r="A21" t="s">
        <v>9</v>
      </c>
      <c r="C21"/>
      <c r="D21" s="2">
        <f>SUBTOTAL(109,Table1[profit / Loss])</f>
        <v>22.399999999999995</v>
      </c>
      <c r="E21" s="4">
        <f>SUBTOTAL(109,Table1[Time])</f>
        <v>1.15625</v>
      </c>
      <c r="F21" s="4"/>
      <c r="G21"/>
      <c r="H21" s="6"/>
      <c r="I21">
        <f>SUBTOTAL(109,Table1[Tourneys Played])</f>
        <v>46</v>
      </c>
      <c r="J21">
        <f>SUBTOTAL(109,Table1[Tourneys Cashed])</f>
        <v>27</v>
      </c>
      <c r="K21" s="2">
        <f>SUBTOTAL(109,Table1[total Cost of Entries])</f>
        <v>104</v>
      </c>
    </row>
    <row r="22" spans="1:12" x14ac:dyDescent="0.25">
      <c r="A22" s="21" t="s">
        <v>19</v>
      </c>
      <c r="B22" s="22">
        <f>Table1[[#Totals],[total Cost of Entries]]</f>
        <v>104</v>
      </c>
    </row>
    <row r="23" spans="1:12" x14ac:dyDescent="0.25">
      <c r="A23" s="21" t="s">
        <v>14</v>
      </c>
      <c r="B23" s="22">
        <f>B22+B24</f>
        <v>126.39999999999999</v>
      </c>
    </row>
    <row r="24" spans="1:12" x14ac:dyDescent="0.25">
      <c r="A24" s="21" t="s">
        <v>18</v>
      </c>
      <c r="B24" s="22">
        <f>Table1[[#Totals],[profit / Loss]]</f>
        <v>22.399999999999995</v>
      </c>
    </row>
    <row r="25" spans="1:12" x14ac:dyDescent="0.25">
      <c r="A25" s="21" t="s">
        <v>15</v>
      </c>
      <c r="B25" s="23">
        <f>C25+1</f>
        <v>1.2153846153846153</v>
      </c>
      <c r="C25" s="20">
        <f>B24/B22</f>
        <v>0.21538461538461534</v>
      </c>
    </row>
    <row r="26" spans="1:12" x14ac:dyDescent="0.25">
      <c r="A26" s="21" t="s">
        <v>72</v>
      </c>
      <c r="B26" s="31">
        <f>Table1[[#Totals],[Tourneys Cashed]]/Table1[[#Totals],[Tourneys Played]]</f>
        <v>0.58695652173913049</v>
      </c>
    </row>
    <row r="29" spans="1:12" x14ac:dyDescent="0.25">
      <c r="E29" s="1">
        <v>5</v>
      </c>
    </row>
  </sheetData>
  <pageMargins left="0.7" right="0.7" top="0.75" bottom="0.75" header="0.3" footer="0.3"/>
  <pageSetup paperSize="9" orientation="portrait" horizontalDpi="4294967293" verticalDpi="4294967293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829E9F-6B21-4624-9AC0-A66EA57EC399}">
  <dimension ref="A1:S27"/>
  <sheetViews>
    <sheetView workbookViewId="0">
      <selection activeCell="K17" sqref="K17"/>
    </sheetView>
  </sheetViews>
  <sheetFormatPr defaultRowHeight="15" x14ac:dyDescent="0.25"/>
  <cols>
    <col min="1" max="1" width="19.42578125" customWidth="1"/>
    <col min="2" max="2" width="20.140625" customWidth="1"/>
    <col min="3" max="3" width="11.5703125" customWidth="1"/>
    <col min="5" max="5" width="17.42578125" customWidth="1"/>
    <col min="6" max="6" width="11" customWidth="1"/>
    <col min="7" max="7" width="12.7109375" bestFit="1" customWidth="1"/>
    <col min="8" max="8" width="15" bestFit="1" customWidth="1"/>
    <col min="9" max="13" width="11" customWidth="1"/>
    <col min="14" max="15" width="12" customWidth="1"/>
  </cols>
  <sheetData>
    <row r="1" spans="1:19" x14ac:dyDescent="0.25">
      <c r="A1" t="s">
        <v>32</v>
      </c>
      <c r="B1" s="24" t="s">
        <v>51</v>
      </c>
      <c r="C1" t="s">
        <v>42</v>
      </c>
      <c r="D1" t="s">
        <v>43</v>
      </c>
      <c r="E1" t="s">
        <v>52</v>
      </c>
      <c r="F1" s="26" t="s">
        <v>53</v>
      </c>
      <c r="G1" t="s">
        <v>54</v>
      </c>
      <c r="H1" t="s">
        <v>55</v>
      </c>
      <c r="I1" t="s">
        <v>68</v>
      </c>
      <c r="J1" t="s">
        <v>44</v>
      </c>
      <c r="K1" t="s">
        <v>45</v>
      </c>
      <c r="L1" t="s">
        <v>46</v>
      </c>
      <c r="M1" t="s">
        <v>47</v>
      </c>
      <c r="N1" t="s">
        <v>48</v>
      </c>
      <c r="O1" t="s">
        <v>49</v>
      </c>
    </row>
    <row r="2" spans="1:19" x14ac:dyDescent="0.25">
      <c r="A2" t="s">
        <v>33</v>
      </c>
      <c r="B2" s="25">
        <v>20</v>
      </c>
      <c r="C2" s="25">
        <v>0</v>
      </c>
      <c r="D2" s="25">
        <v>0</v>
      </c>
      <c r="E2" s="25">
        <f>Table4[[#This Row],[Winnings]]-Table4[[#This Row],[Paid]]</f>
        <v>0</v>
      </c>
      <c r="F2" s="25">
        <v>20</v>
      </c>
      <c r="G2" s="25">
        <v>0</v>
      </c>
      <c r="H2" s="25">
        <v>0</v>
      </c>
      <c r="I2" s="25"/>
      <c r="J2" s="25"/>
      <c r="K2" s="25"/>
      <c r="L2" s="25"/>
      <c r="M2" s="25"/>
      <c r="N2" s="25"/>
      <c r="O2" s="25"/>
      <c r="P2" s="25"/>
      <c r="Q2" s="25"/>
      <c r="R2" s="25"/>
      <c r="S2" s="25"/>
    </row>
    <row r="3" spans="1:19" x14ac:dyDescent="0.25">
      <c r="A3" t="s">
        <v>34</v>
      </c>
      <c r="B3" s="25">
        <v>20</v>
      </c>
      <c r="C3" s="25">
        <v>0</v>
      </c>
      <c r="D3" s="25">
        <v>0</v>
      </c>
      <c r="E3" s="25">
        <f>Table4[[#This Row],[Winnings]]-Table4[[#This Row],[Paid]]</f>
        <v>0</v>
      </c>
      <c r="F3" s="25">
        <v>20</v>
      </c>
      <c r="G3" s="25">
        <v>0</v>
      </c>
      <c r="H3" s="25">
        <v>0</v>
      </c>
      <c r="I3" s="25"/>
      <c r="J3" s="25"/>
      <c r="K3" s="25"/>
      <c r="L3" s="25"/>
      <c r="M3" s="25"/>
      <c r="N3" s="25"/>
      <c r="O3" s="25"/>
      <c r="P3" s="25"/>
      <c r="Q3" s="25"/>
      <c r="R3" s="25"/>
      <c r="S3" s="25"/>
    </row>
    <row r="4" spans="1:19" x14ac:dyDescent="0.25">
      <c r="A4" t="s">
        <v>35</v>
      </c>
      <c r="B4" s="25">
        <v>20</v>
      </c>
      <c r="C4" s="25">
        <v>35</v>
      </c>
      <c r="D4" s="25">
        <v>0</v>
      </c>
      <c r="E4" s="25">
        <f>Table4[[#This Row],[Winnings]]-Table4[[#This Row],[Paid]]</f>
        <v>35</v>
      </c>
      <c r="F4" s="25">
        <v>20</v>
      </c>
      <c r="G4" s="25">
        <v>70</v>
      </c>
      <c r="H4" s="25">
        <v>85</v>
      </c>
      <c r="I4" s="25">
        <v>85</v>
      </c>
      <c r="J4" s="25" t="s">
        <v>69</v>
      </c>
      <c r="K4" s="25"/>
      <c r="L4" s="25"/>
      <c r="M4" s="25"/>
      <c r="N4" s="25"/>
      <c r="O4" s="25"/>
      <c r="P4" s="25"/>
      <c r="Q4" s="25"/>
      <c r="R4" s="25"/>
      <c r="S4" s="25"/>
    </row>
    <row r="5" spans="1:19" x14ac:dyDescent="0.25">
      <c r="A5" t="s">
        <v>36</v>
      </c>
      <c r="B5" s="25">
        <v>20</v>
      </c>
      <c r="C5" s="25">
        <v>20</v>
      </c>
      <c r="D5" s="25">
        <v>0</v>
      </c>
      <c r="E5" s="25">
        <f>Table4[[#This Row],[Winnings]]-Table4[[#This Row],[Paid]]</f>
        <v>20</v>
      </c>
      <c r="F5" s="25">
        <v>20</v>
      </c>
      <c r="G5" s="25">
        <v>0</v>
      </c>
      <c r="H5" s="25">
        <v>0</v>
      </c>
      <c r="I5" s="25"/>
      <c r="J5" s="25"/>
      <c r="K5" s="25"/>
      <c r="L5" s="25"/>
      <c r="M5" s="25"/>
      <c r="N5" s="25"/>
      <c r="O5" s="25"/>
      <c r="P5" s="25"/>
      <c r="Q5" s="25"/>
      <c r="R5" s="25"/>
      <c r="S5" s="25"/>
    </row>
    <row r="6" spans="1:19" x14ac:dyDescent="0.25">
      <c r="A6" t="s">
        <v>37</v>
      </c>
      <c r="B6" s="25">
        <v>20</v>
      </c>
      <c r="C6" s="25">
        <v>0</v>
      </c>
      <c r="D6" s="25">
        <v>0</v>
      </c>
      <c r="E6" s="25">
        <f>Table4[[#This Row],[Winnings]]-Table4[[#This Row],[Paid]]</f>
        <v>0</v>
      </c>
      <c r="F6" s="25">
        <v>0</v>
      </c>
      <c r="G6" s="25">
        <v>0</v>
      </c>
      <c r="H6" s="25">
        <v>0</v>
      </c>
      <c r="I6" s="25"/>
      <c r="J6" s="25"/>
      <c r="K6" s="25"/>
      <c r="L6" s="25"/>
      <c r="M6" s="25"/>
      <c r="N6" s="25"/>
      <c r="O6" s="25"/>
      <c r="P6" s="25"/>
      <c r="Q6" s="25"/>
      <c r="R6" s="25"/>
      <c r="S6" s="25"/>
    </row>
    <row r="7" spans="1:19" x14ac:dyDescent="0.25">
      <c r="A7" t="s">
        <v>38</v>
      </c>
      <c r="B7" s="25">
        <v>20</v>
      </c>
      <c r="C7" s="25">
        <v>55</v>
      </c>
      <c r="D7" s="25">
        <v>0</v>
      </c>
      <c r="E7" s="25">
        <f>Table4[[#This Row],[Winnings]]-Table4[[#This Row],[Paid]]</f>
        <v>55</v>
      </c>
      <c r="F7" s="25">
        <v>20</v>
      </c>
      <c r="G7" s="25">
        <v>0</v>
      </c>
      <c r="H7" s="25">
        <v>35</v>
      </c>
      <c r="I7" s="25">
        <v>35</v>
      </c>
      <c r="J7" s="25" t="s">
        <v>70</v>
      </c>
      <c r="K7" s="25"/>
      <c r="L7" s="25"/>
      <c r="M7" s="25"/>
      <c r="N7" s="25"/>
      <c r="O7" s="25"/>
      <c r="P7" s="25"/>
      <c r="Q7" s="25"/>
      <c r="R7" s="25"/>
      <c r="S7" s="25"/>
    </row>
    <row r="8" spans="1:19" x14ac:dyDescent="0.25">
      <c r="A8" t="s">
        <v>39</v>
      </c>
      <c r="B8" s="25">
        <v>20</v>
      </c>
      <c r="C8" s="25">
        <v>0</v>
      </c>
      <c r="D8" s="25">
        <v>0</v>
      </c>
      <c r="E8" s="25">
        <f>Table4[[#This Row],[Winnings]]-Table4[[#This Row],[Paid]]</f>
        <v>0</v>
      </c>
      <c r="F8" s="25">
        <v>20</v>
      </c>
      <c r="G8" s="25">
        <v>0</v>
      </c>
      <c r="H8" s="25">
        <v>0</v>
      </c>
      <c r="I8" s="25"/>
      <c r="J8" s="25"/>
      <c r="K8" s="25"/>
      <c r="L8" s="25"/>
      <c r="M8" s="25"/>
      <c r="N8" s="25"/>
      <c r="O8" s="25"/>
      <c r="P8" s="25"/>
      <c r="Q8" s="25"/>
      <c r="R8" s="25"/>
      <c r="S8" s="25"/>
    </row>
    <row r="9" spans="1:19" x14ac:dyDescent="0.25">
      <c r="A9" t="s">
        <v>40</v>
      </c>
      <c r="B9" s="25">
        <v>20</v>
      </c>
      <c r="C9" s="25">
        <v>55</v>
      </c>
      <c r="D9" s="25">
        <v>55</v>
      </c>
      <c r="E9" s="25">
        <f>Table4[[#This Row],[Winnings]]-Table4[[#This Row],[Paid]]</f>
        <v>0</v>
      </c>
      <c r="F9" s="25">
        <v>20</v>
      </c>
      <c r="G9" s="25">
        <v>30</v>
      </c>
      <c r="H9" s="25">
        <v>30</v>
      </c>
      <c r="I9" s="25">
        <v>30</v>
      </c>
      <c r="J9" s="25" t="s">
        <v>71</v>
      </c>
      <c r="K9" s="25"/>
      <c r="L9" s="25"/>
      <c r="M9" s="25"/>
      <c r="N9" s="25"/>
      <c r="O9" s="25"/>
      <c r="P9" s="25"/>
      <c r="Q9" s="25"/>
      <c r="R9" s="25"/>
      <c r="S9" s="25"/>
    </row>
    <row r="10" spans="1:19" x14ac:dyDescent="0.25">
      <c r="A10" t="s">
        <v>41</v>
      </c>
      <c r="B10" s="25">
        <v>20</v>
      </c>
      <c r="C10" s="25">
        <v>35</v>
      </c>
      <c r="D10" s="25">
        <v>35</v>
      </c>
      <c r="E10" s="25">
        <f>Table4[[#This Row],[Winnings]]-Table4[[#This Row],[Paid]]</f>
        <v>0</v>
      </c>
      <c r="F10" s="25">
        <v>0</v>
      </c>
      <c r="G10" s="25">
        <v>0</v>
      </c>
      <c r="H10" s="25">
        <v>0</v>
      </c>
      <c r="I10" s="25"/>
      <c r="J10" s="25"/>
      <c r="K10" s="25"/>
      <c r="L10" s="25"/>
      <c r="M10" s="25"/>
      <c r="N10" s="25"/>
      <c r="O10" s="25"/>
      <c r="P10" s="25"/>
      <c r="Q10" s="25"/>
      <c r="R10" s="25"/>
      <c r="S10" s="25"/>
    </row>
    <row r="11" spans="1:19" x14ac:dyDescent="0.25">
      <c r="A11" t="s">
        <v>50</v>
      </c>
      <c r="B11" s="25">
        <v>20</v>
      </c>
      <c r="C11" s="25">
        <v>0</v>
      </c>
      <c r="D11" s="25">
        <v>0</v>
      </c>
      <c r="E11" s="25">
        <f>Table4[[#This Row],[Winnings]]-Table4[[#This Row],[Paid]]</f>
        <v>0</v>
      </c>
      <c r="F11" s="25">
        <v>0</v>
      </c>
      <c r="G11" s="25">
        <v>0</v>
      </c>
      <c r="H11" s="25">
        <v>0</v>
      </c>
      <c r="I11" s="25"/>
      <c r="J11" s="25"/>
      <c r="K11" s="25"/>
      <c r="L11" s="25"/>
      <c r="M11" s="25"/>
      <c r="N11" s="25"/>
      <c r="O11" s="25"/>
    </row>
    <row r="12" spans="1:19" x14ac:dyDescent="0.25">
      <c r="A12" t="s">
        <v>56</v>
      </c>
      <c r="B12" s="25"/>
      <c r="C12" s="25"/>
      <c r="D12" s="25"/>
      <c r="E12" s="25">
        <f>Table4[[#This Row],[Winnings]]-Table4[[#This Row],[Paid]]</f>
        <v>0</v>
      </c>
      <c r="F12" s="25">
        <v>20</v>
      </c>
      <c r="G12" s="25">
        <v>0</v>
      </c>
      <c r="H12" s="25">
        <v>0</v>
      </c>
      <c r="I12" s="25"/>
      <c r="J12" s="25"/>
      <c r="K12" s="25"/>
      <c r="L12" s="25"/>
      <c r="M12" s="25"/>
      <c r="N12" s="25"/>
      <c r="O12" s="25"/>
    </row>
    <row r="13" spans="1:19" x14ac:dyDescent="0.25">
      <c r="A13" t="s">
        <v>57</v>
      </c>
      <c r="B13" s="25"/>
      <c r="C13" s="25"/>
      <c r="D13" s="25"/>
      <c r="E13" s="25">
        <f>Table4[[#This Row],[Winnings]]-Table4[[#This Row],[Paid]]</f>
        <v>0</v>
      </c>
      <c r="F13" s="25">
        <v>20</v>
      </c>
      <c r="G13" s="25">
        <v>0</v>
      </c>
      <c r="H13" s="25">
        <v>0</v>
      </c>
      <c r="I13" s="25"/>
      <c r="J13" s="25"/>
      <c r="K13" s="25"/>
      <c r="L13" s="25"/>
      <c r="M13" s="25"/>
      <c r="N13" s="25"/>
      <c r="O13" s="25"/>
    </row>
    <row r="14" spans="1:19" x14ac:dyDescent="0.25">
      <c r="A14" t="s">
        <v>58</v>
      </c>
      <c r="B14" s="25"/>
      <c r="C14" s="25"/>
      <c r="D14" s="25"/>
      <c r="E14" s="25">
        <f>Table4[[#This Row],[Winnings]]-Table4[[#This Row],[Paid]]</f>
        <v>0</v>
      </c>
      <c r="F14" s="25">
        <v>20</v>
      </c>
      <c r="G14" s="25">
        <v>0</v>
      </c>
      <c r="H14" s="25">
        <v>0</v>
      </c>
      <c r="I14" s="25"/>
      <c r="J14" s="25"/>
      <c r="K14" s="25"/>
      <c r="L14" s="25"/>
      <c r="M14" s="25"/>
      <c r="N14" s="25"/>
      <c r="O14" s="25"/>
    </row>
    <row r="15" spans="1:19" x14ac:dyDescent="0.25">
      <c r="A15" t="s">
        <v>59</v>
      </c>
      <c r="B15" s="25"/>
      <c r="C15" s="25"/>
      <c r="D15" s="25"/>
      <c r="E15" s="25">
        <f>Table4[[#This Row],[Winnings]]-Table4[[#This Row],[Paid]]</f>
        <v>0</v>
      </c>
      <c r="F15" s="25">
        <v>20</v>
      </c>
      <c r="G15" s="25">
        <v>110</v>
      </c>
      <c r="H15" s="25">
        <v>110</v>
      </c>
      <c r="I15" s="25">
        <v>110</v>
      </c>
      <c r="J15" s="25" t="s">
        <v>71</v>
      </c>
      <c r="K15" s="25"/>
      <c r="L15" s="25"/>
      <c r="M15" s="25"/>
      <c r="N15" s="25"/>
      <c r="O15" s="25"/>
    </row>
    <row r="16" spans="1:19" x14ac:dyDescent="0.25">
      <c r="A16" t="s">
        <v>60</v>
      </c>
      <c r="B16" s="25"/>
      <c r="C16" s="25"/>
      <c r="D16" s="25"/>
      <c r="E16" s="25">
        <f>Table4[[#This Row],[Winnings]]-Table4[[#This Row],[Paid]]</f>
        <v>0</v>
      </c>
      <c r="F16" s="25">
        <v>20</v>
      </c>
      <c r="G16" s="25">
        <v>0</v>
      </c>
      <c r="H16" s="25">
        <v>0</v>
      </c>
      <c r="I16" s="25"/>
      <c r="J16" s="25"/>
      <c r="K16" s="25"/>
      <c r="L16" s="25"/>
      <c r="M16" s="25"/>
      <c r="N16" s="25"/>
      <c r="O16" s="25"/>
    </row>
    <row r="17" spans="1:15" x14ac:dyDescent="0.25">
      <c r="A17" t="s">
        <v>61</v>
      </c>
      <c r="B17" s="25"/>
      <c r="C17" s="25"/>
      <c r="D17" s="25"/>
      <c r="E17" s="25">
        <f>Table4[[#This Row],[Winnings]]-Table4[[#This Row],[Paid]]</f>
        <v>0</v>
      </c>
      <c r="F17" s="25">
        <v>20</v>
      </c>
      <c r="G17" s="25">
        <v>70</v>
      </c>
      <c r="H17" s="25">
        <v>70</v>
      </c>
      <c r="I17" s="25">
        <v>70</v>
      </c>
      <c r="J17" s="25" t="s">
        <v>71</v>
      </c>
      <c r="K17" s="25"/>
      <c r="L17" s="25"/>
      <c r="M17" s="25"/>
      <c r="N17" s="25"/>
      <c r="O17" s="25"/>
    </row>
    <row r="18" spans="1:15" x14ac:dyDescent="0.25">
      <c r="A18" t="s">
        <v>66</v>
      </c>
      <c r="B18" s="25"/>
      <c r="C18" s="25"/>
      <c r="D18" s="25"/>
      <c r="E18" s="25">
        <f>Table4[[#This Row],[Winnings]]-Table4[[#This Row],[Paid]]</f>
        <v>0</v>
      </c>
      <c r="F18" s="25">
        <v>20</v>
      </c>
      <c r="G18" s="25">
        <v>0</v>
      </c>
      <c r="H18" s="25">
        <v>0</v>
      </c>
      <c r="I18" s="25"/>
      <c r="J18" s="25"/>
      <c r="K18" s="25"/>
      <c r="L18" s="25"/>
      <c r="M18" s="25"/>
      <c r="N18" s="25"/>
      <c r="O18" s="25"/>
    </row>
    <row r="19" spans="1:15" x14ac:dyDescent="0.25">
      <c r="A19" t="s">
        <v>9</v>
      </c>
      <c r="B19" s="25">
        <f>SUBTOTAL(109,Table4[20-Mar Paid])</f>
        <v>200</v>
      </c>
      <c r="C19" s="25">
        <f>SUBTOTAL(109,Table4[Winnings])</f>
        <v>200</v>
      </c>
      <c r="D19" s="25">
        <f>SUBTOTAL(109,Table4[Paid])</f>
        <v>90</v>
      </c>
      <c r="F19" s="25">
        <f>SUBTOTAL(109,Table4[10/04/2020])</f>
        <v>280</v>
      </c>
      <c r="G19" s="25">
        <f>SUBTOTAL(109,Table4[Winnings2])</f>
        <v>280</v>
      </c>
      <c r="H19" s="25">
        <f>SUBTOTAL(109,Table4[Balance due2])</f>
        <v>330</v>
      </c>
      <c r="O19">
        <f>SUBTOTAL(103,Table4[Column11])</f>
        <v>0</v>
      </c>
    </row>
    <row r="22" spans="1:15" x14ac:dyDescent="0.25">
      <c r="E22" t="s">
        <v>62</v>
      </c>
      <c r="F22" s="25">
        <v>110</v>
      </c>
      <c r="G22" s="29">
        <f>F22/$F$26</f>
        <v>0.39285714285714285</v>
      </c>
      <c r="H22" t="s">
        <v>67</v>
      </c>
    </row>
    <row r="23" spans="1:15" x14ac:dyDescent="0.25">
      <c r="E23" t="s">
        <v>63</v>
      </c>
      <c r="F23" s="25">
        <v>70</v>
      </c>
      <c r="G23" s="29">
        <f t="shared" ref="G23:G25" si="0">F23/$F$26</f>
        <v>0.25</v>
      </c>
      <c r="H23" t="s">
        <v>31</v>
      </c>
    </row>
    <row r="24" spans="1:15" x14ac:dyDescent="0.25">
      <c r="E24" t="s">
        <v>64</v>
      </c>
      <c r="F24" s="25">
        <v>70</v>
      </c>
      <c r="G24" s="29">
        <f t="shared" si="0"/>
        <v>0.25</v>
      </c>
      <c r="H24" t="s">
        <v>61</v>
      </c>
    </row>
    <row r="25" spans="1:15" x14ac:dyDescent="0.25">
      <c r="E25" t="s">
        <v>65</v>
      </c>
      <c r="F25" s="25">
        <v>30</v>
      </c>
      <c r="G25" s="29">
        <f t="shared" si="0"/>
        <v>0.10714285714285714</v>
      </c>
      <c r="H25" t="s">
        <v>40</v>
      </c>
    </row>
    <row r="26" spans="1:15" ht="15.75" thickBot="1" x14ac:dyDescent="0.3">
      <c r="E26" s="27" t="s">
        <v>9</v>
      </c>
      <c r="F26" s="28">
        <f>SUM(F22:F25)</f>
        <v>280</v>
      </c>
      <c r="G26" s="30">
        <f>SUM(G22:G25)</f>
        <v>0.99999999999999989</v>
      </c>
    </row>
    <row r="27" spans="1:15" ht="15.75" thickTop="1" x14ac:dyDescent="0.25"/>
  </sheetData>
  <phoneticPr fontId="5" type="noConversion"/>
  <pageMargins left="0.7" right="0.7" top="0.75" bottom="0.75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2BAE62-64FB-4C64-9764-64F607F9C531}">
  <sheetPr>
    <pageSetUpPr fitToPage="1"/>
  </sheetPr>
  <dimension ref="A1:AC70"/>
  <sheetViews>
    <sheetView topLeftCell="I12" workbookViewId="0">
      <selection activeCell="U31" sqref="U31"/>
    </sheetView>
  </sheetViews>
  <sheetFormatPr defaultRowHeight="15" x14ac:dyDescent="0.25"/>
  <cols>
    <col min="1" max="1" width="18.5703125" bestFit="1" customWidth="1"/>
    <col min="2" max="3" width="12.5703125" bestFit="1" customWidth="1"/>
    <col min="4" max="4" width="9.140625" customWidth="1"/>
    <col min="5" max="5" width="11.7109375" hidden="1" customWidth="1"/>
    <col min="6" max="6" width="10" bestFit="1" customWidth="1"/>
    <col min="9" max="9" width="15.28515625" customWidth="1"/>
    <col min="10" max="10" width="14.5703125" customWidth="1"/>
    <col min="11" max="11" width="12.140625" customWidth="1"/>
    <col min="12" max="12" width="11.5703125" bestFit="1" customWidth="1"/>
    <col min="13" max="13" width="10.85546875" customWidth="1"/>
    <col min="14" max="14" width="13.140625" bestFit="1" customWidth="1"/>
    <col min="15" max="15" width="13" bestFit="1" customWidth="1"/>
    <col min="16" max="16" width="11.140625" customWidth="1"/>
    <col min="17" max="17" width="13" customWidth="1"/>
    <col min="18" max="19" width="15" bestFit="1" customWidth="1"/>
    <col min="20" max="20" width="10.5703125" bestFit="1" customWidth="1"/>
    <col min="21" max="21" width="13.85546875" customWidth="1"/>
    <col min="22" max="22" width="12.42578125" customWidth="1"/>
    <col min="24" max="24" width="10.85546875" customWidth="1"/>
  </cols>
  <sheetData>
    <row r="1" spans="1:22" ht="18.75" x14ac:dyDescent="0.3">
      <c r="I1" s="96" t="s">
        <v>109</v>
      </c>
      <c r="J1" s="97"/>
      <c r="K1" s="72" t="s">
        <v>110</v>
      </c>
      <c r="L1" s="72">
        <v>30</v>
      </c>
      <c r="M1" s="72" t="s">
        <v>102</v>
      </c>
      <c r="N1" s="72"/>
    </row>
    <row r="2" spans="1:22" ht="45" x14ac:dyDescent="0.25">
      <c r="A2" t="s">
        <v>29</v>
      </c>
      <c r="G2" s="55" t="s">
        <v>95</v>
      </c>
      <c r="H2" s="55" t="s">
        <v>96</v>
      </c>
      <c r="I2" s="71" t="s">
        <v>103</v>
      </c>
      <c r="J2" s="71" t="s">
        <v>104</v>
      </c>
      <c r="K2" s="71" t="s">
        <v>105</v>
      </c>
      <c r="L2" s="71" t="s">
        <v>106</v>
      </c>
      <c r="M2" s="71" t="s">
        <v>107</v>
      </c>
      <c r="N2" s="71" t="s">
        <v>108</v>
      </c>
      <c r="P2" s="55"/>
    </row>
    <row r="3" spans="1:22" x14ac:dyDescent="0.25">
      <c r="A3" t="s">
        <v>23</v>
      </c>
      <c r="G3" s="6">
        <v>100</v>
      </c>
      <c r="H3" s="6">
        <v>5</v>
      </c>
      <c r="I3" s="6">
        <v>25</v>
      </c>
      <c r="J3" s="6">
        <v>4</v>
      </c>
      <c r="K3" s="6">
        <f>Table5[[#This Row],[In Game Chips Per Person]]*Table5[[#This Row],[Chip Denomination]]</f>
        <v>100</v>
      </c>
      <c r="L3" s="6">
        <f>Table5[[#This Row],[In Game Chips Per Person]]*$L$1</f>
        <v>120</v>
      </c>
      <c r="M3" s="6">
        <v>10</v>
      </c>
      <c r="N3">
        <f>Table5[[#This Row],[In Play Chips Required]]+Table5[[#This Row],[Cash Up Chips]]</f>
        <v>130</v>
      </c>
    </row>
    <row r="4" spans="1:22" x14ac:dyDescent="0.25">
      <c r="A4" t="s">
        <v>27</v>
      </c>
      <c r="G4" s="6">
        <v>500</v>
      </c>
      <c r="H4" s="6">
        <v>5</v>
      </c>
      <c r="I4" s="6">
        <v>100</v>
      </c>
      <c r="J4" s="6">
        <v>4</v>
      </c>
      <c r="K4" s="6">
        <f>Table5[[#This Row],[In Game Chips Per Person]]*Table5[[#This Row],[Chip Denomination]]</f>
        <v>400</v>
      </c>
      <c r="L4" s="6">
        <f>Table5[[#This Row],[In Game Chips Per Person]]*$L$1</f>
        <v>120</v>
      </c>
      <c r="M4" s="6">
        <v>30</v>
      </c>
      <c r="N4">
        <f>Table5[[#This Row],[In Play Chips Required]]+Table5[[#This Row],[Cash Up Chips]]</f>
        <v>150</v>
      </c>
    </row>
    <row r="5" spans="1:22" x14ac:dyDescent="0.25">
      <c r="A5" t="s">
        <v>28</v>
      </c>
      <c r="G5" s="6">
        <v>1000</v>
      </c>
      <c r="H5" s="6">
        <v>7</v>
      </c>
      <c r="I5" s="6">
        <v>500</v>
      </c>
      <c r="J5" s="6">
        <v>3</v>
      </c>
      <c r="K5" s="6">
        <f>Table5[[#This Row],[In Game Chips Per Person]]*Table5[[#This Row],[Chip Denomination]]</f>
        <v>1500</v>
      </c>
      <c r="L5" s="6">
        <f>Table5[[#This Row],[In Game Chips Per Person]]*$L$1</f>
        <v>90</v>
      </c>
      <c r="M5" s="6">
        <v>20</v>
      </c>
      <c r="N5">
        <f>Table5[[#This Row],[In Play Chips Required]]+Table5[[#This Row],[Cash Up Chips]]</f>
        <v>110</v>
      </c>
    </row>
    <row r="6" spans="1:22" x14ac:dyDescent="0.25">
      <c r="A6" t="s">
        <v>30</v>
      </c>
      <c r="G6" s="6">
        <v>5000</v>
      </c>
      <c r="H6" s="6">
        <v>1</v>
      </c>
      <c r="I6" s="6">
        <v>1000</v>
      </c>
      <c r="J6" s="6">
        <v>5</v>
      </c>
      <c r="K6" s="6">
        <f>Table5[[#This Row],[In Game Chips Per Person]]*Table5[[#This Row],[Chip Denomination]]</f>
        <v>5000</v>
      </c>
      <c r="L6" s="6">
        <f>Table5[[#This Row],[In Game Chips Per Person]]*$L$1</f>
        <v>150</v>
      </c>
      <c r="M6" s="6">
        <v>100</v>
      </c>
      <c r="N6">
        <f>Table5[[#This Row],[In Play Chips Required]]+Table5[[#This Row],[Cash Up Chips]]</f>
        <v>250</v>
      </c>
    </row>
    <row r="7" spans="1:22" x14ac:dyDescent="0.25">
      <c r="G7" s="6">
        <v>10000</v>
      </c>
      <c r="H7" s="6">
        <v>1</v>
      </c>
      <c r="I7" s="6">
        <v>5000</v>
      </c>
      <c r="J7" s="6">
        <v>1</v>
      </c>
      <c r="K7" s="6">
        <f>Table5[[#This Row],[In Game Chips Per Person]]*Table5[[#This Row],[Chip Denomination]]</f>
        <v>5000</v>
      </c>
      <c r="L7" s="6">
        <f>Table5[[#This Row],[In Game Chips Per Person]]*$L$1</f>
        <v>30</v>
      </c>
      <c r="M7" s="6">
        <v>20</v>
      </c>
      <c r="N7">
        <f>Table5[[#This Row],[In Play Chips Required]]+Table5[[#This Row],[Cash Up Chips]]</f>
        <v>50</v>
      </c>
    </row>
    <row r="8" spans="1:22" ht="15.75" thickBot="1" x14ac:dyDescent="0.3">
      <c r="G8" s="54" t="s">
        <v>9</v>
      </c>
      <c r="H8" s="54">
        <f>SUM(H3:H7)</f>
        <v>19</v>
      </c>
      <c r="I8" s="6">
        <v>10000</v>
      </c>
      <c r="J8" s="6">
        <v>0</v>
      </c>
      <c r="K8" s="6">
        <f>Table5[[#This Row],[In Game Chips Per Person]]*Table5[[#This Row],[Chip Denomination]]</f>
        <v>0</v>
      </c>
      <c r="L8" s="6">
        <f>Table5[[#This Row],[In Game Chips Per Person]]*$L$1</f>
        <v>0</v>
      </c>
      <c r="M8" s="6">
        <v>50</v>
      </c>
      <c r="N8">
        <f>Table5[[#This Row],[In Play Chips Required]]+Table5[[#This Row],[Cash Up Chips]]</f>
        <v>50</v>
      </c>
    </row>
    <row r="9" spans="1:22" ht="15.75" thickTop="1" x14ac:dyDescent="0.25">
      <c r="I9" s="6" t="s">
        <v>9</v>
      </c>
      <c r="J9" s="6">
        <f>SUBTOTAL(109,Table5[In Game Chips Per Person])</f>
        <v>17</v>
      </c>
      <c r="K9" s="6">
        <f>SUBTOTAL(109,Table5[Chip Value Per Person])</f>
        <v>12000</v>
      </c>
      <c r="L9" s="6">
        <f>SUBTOTAL(109,Table5[In Play Chips Required])</f>
        <v>510</v>
      </c>
      <c r="M9" s="6">
        <f>SUBTOTAL(105,Table5[Cash Up Chips])</f>
        <v>10</v>
      </c>
      <c r="N9">
        <f>SUBTOTAL(109,Table5[Total Chips Required])</f>
        <v>740</v>
      </c>
    </row>
    <row r="12" spans="1:22" ht="18.75" x14ac:dyDescent="0.3">
      <c r="Q12" s="79"/>
      <c r="R12" s="79"/>
      <c r="S12" s="79"/>
      <c r="T12" s="79"/>
      <c r="U12" s="79"/>
      <c r="V12" s="79"/>
    </row>
    <row r="13" spans="1:22" ht="15" hidden="1" customHeight="1" x14ac:dyDescent="0.25"/>
    <row r="14" spans="1:22" ht="18.75" x14ac:dyDescent="0.3">
      <c r="A14" s="35" t="s">
        <v>85</v>
      </c>
      <c r="B14" s="35" t="s">
        <v>82</v>
      </c>
      <c r="C14" s="35" t="s">
        <v>83</v>
      </c>
      <c r="D14" s="35" t="s">
        <v>3</v>
      </c>
      <c r="E14" s="35" t="s">
        <v>84</v>
      </c>
      <c r="F14" s="41" t="s">
        <v>90</v>
      </c>
      <c r="G14" s="34"/>
      <c r="Q14" s="73"/>
      <c r="R14" s="73"/>
      <c r="S14" s="73"/>
      <c r="T14" s="73"/>
      <c r="U14" s="73"/>
      <c r="V14" s="74"/>
    </row>
    <row r="15" spans="1:22" ht="18.75" x14ac:dyDescent="0.3">
      <c r="A15" s="36">
        <v>1</v>
      </c>
      <c r="B15" s="37">
        <v>100</v>
      </c>
      <c r="C15" s="37">
        <v>100</v>
      </c>
      <c r="D15" s="38">
        <v>1.3888888888888888E-2</v>
      </c>
      <c r="E15" s="38">
        <f>D15</f>
        <v>1.3888888888888888E-2</v>
      </c>
      <c r="F15" s="42">
        <v>0.3125</v>
      </c>
      <c r="G15" s="34"/>
      <c r="Q15" s="75"/>
      <c r="R15" s="76"/>
      <c r="S15" s="76"/>
      <c r="T15" s="77"/>
      <c r="U15" s="77"/>
      <c r="V15" s="78"/>
    </row>
    <row r="16" spans="1:22" ht="18.75" x14ac:dyDescent="0.3">
      <c r="A16" s="36">
        <f>A15+1</f>
        <v>2</v>
      </c>
      <c r="B16" s="37">
        <v>100</v>
      </c>
      <c r="C16" s="37">
        <v>200</v>
      </c>
      <c r="D16" s="38">
        <v>1.3888888888888888E-2</v>
      </c>
      <c r="E16" s="38"/>
      <c r="F16" s="42">
        <f>F15+D16</f>
        <v>0.3263888888888889</v>
      </c>
      <c r="G16" s="34"/>
      <c r="Q16" s="75"/>
      <c r="R16" s="76"/>
      <c r="S16" s="76"/>
      <c r="T16" s="77"/>
      <c r="U16" s="77"/>
      <c r="V16" s="78"/>
    </row>
    <row r="17" spans="1:29" ht="26.25" x14ac:dyDescent="0.4">
      <c r="A17" s="36">
        <f t="shared" ref="A17:A23" si="0">A16+1</f>
        <v>3</v>
      </c>
      <c r="B17" s="37">
        <v>200</v>
      </c>
      <c r="C17" s="37">
        <v>400</v>
      </c>
      <c r="D17" s="38">
        <v>1.3888888888888888E-2</v>
      </c>
      <c r="E17" s="38">
        <f>E15+D17</f>
        <v>2.7777777777777776E-2</v>
      </c>
      <c r="F17" s="42">
        <f t="shared" ref="F17:F38" si="1">F16+D17</f>
        <v>0.34027777777777779</v>
      </c>
      <c r="G17" s="34"/>
      <c r="I17" s="107" t="s">
        <v>111</v>
      </c>
      <c r="J17" s="107"/>
      <c r="K17" s="107"/>
      <c r="L17" s="107"/>
      <c r="M17" s="107"/>
      <c r="N17" s="107"/>
      <c r="O17" s="107"/>
      <c r="P17" s="107"/>
      <c r="Q17" s="107"/>
      <c r="R17" s="107"/>
      <c r="S17" s="107"/>
      <c r="T17" s="107"/>
      <c r="U17" s="107"/>
      <c r="V17" s="107"/>
      <c r="W17" s="107"/>
      <c r="X17" s="107"/>
    </row>
    <row r="18" spans="1:29" ht="18.75" x14ac:dyDescent="0.3">
      <c r="A18" s="36">
        <f t="shared" si="0"/>
        <v>4</v>
      </c>
      <c r="B18" s="37">
        <v>300</v>
      </c>
      <c r="C18" s="37">
        <v>600</v>
      </c>
      <c r="D18" s="38">
        <v>1.3888888888888888E-2</v>
      </c>
      <c r="E18" s="38">
        <f>E17+D18</f>
        <v>4.1666666666666664E-2</v>
      </c>
      <c r="F18" s="42">
        <f t="shared" si="1"/>
        <v>0.35416666666666669</v>
      </c>
      <c r="G18" s="34"/>
      <c r="I18" s="83">
        <v>1</v>
      </c>
      <c r="J18" s="95" t="s">
        <v>112</v>
      </c>
      <c r="K18" s="95"/>
      <c r="L18" s="95"/>
      <c r="M18" s="95"/>
      <c r="N18" s="95"/>
      <c r="O18" s="95"/>
      <c r="P18" s="95"/>
      <c r="Q18" s="95"/>
      <c r="R18" s="95"/>
      <c r="S18" s="95"/>
      <c r="T18" s="95"/>
      <c r="U18" s="95"/>
      <c r="V18" s="95"/>
      <c r="W18" s="95"/>
      <c r="X18" s="95"/>
    </row>
    <row r="19" spans="1:29" ht="18.75" x14ac:dyDescent="0.3">
      <c r="A19" s="36">
        <f t="shared" si="0"/>
        <v>5</v>
      </c>
      <c r="B19" s="37">
        <v>400</v>
      </c>
      <c r="C19" s="37">
        <v>800</v>
      </c>
      <c r="D19" s="38">
        <v>1.3888888888888888E-2</v>
      </c>
      <c r="E19" s="38">
        <f t="shared" ref="E19:E38" si="2">E18+D19</f>
        <v>5.5555555555555552E-2</v>
      </c>
      <c r="F19" s="42">
        <f t="shared" si="1"/>
        <v>0.36805555555555558</v>
      </c>
      <c r="G19" s="34"/>
      <c r="I19" s="83">
        <v>2</v>
      </c>
      <c r="J19" s="95" t="s">
        <v>113</v>
      </c>
      <c r="K19" s="95"/>
      <c r="L19" s="95"/>
      <c r="M19" s="95"/>
      <c r="N19" s="95"/>
      <c r="O19" s="95"/>
      <c r="P19" s="95"/>
      <c r="Q19" s="95"/>
      <c r="R19" s="95"/>
      <c r="S19" s="95"/>
      <c r="T19" s="95"/>
      <c r="U19" s="95"/>
      <c r="V19" s="95"/>
      <c r="W19" s="95"/>
      <c r="X19" s="95"/>
    </row>
    <row r="20" spans="1:29" ht="18.75" x14ac:dyDescent="0.3">
      <c r="A20" s="35" t="s">
        <v>86</v>
      </c>
      <c r="B20" s="103" t="s">
        <v>87</v>
      </c>
      <c r="C20" s="103"/>
      <c r="D20" s="38">
        <v>1.7361111111111112E-2</v>
      </c>
      <c r="E20" s="38"/>
      <c r="F20" s="42">
        <f t="shared" si="1"/>
        <v>0.38541666666666669</v>
      </c>
      <c r="G20" s="34"/>
      <c r="I20" s="83">
        <v>3</v>
      </c>
      <c r="J20" s="95" t="s">
        <v>125</v>
      </c>
      <c r="K20" s="95"/>
      <c r="L20" s="95"/>
      <c r="M20" s="95"/>
      <c r="N20" s="95"/>
      <c r="O20" s="95"/>
      <c r="P20" s="95"/>
      <c r="Q20" s="95"/>
      <c r="R20" s="95"/>
      <c r="S20" s="95"/>
      <c r="T20" s="95"/>
      <c r="U20" s="95"/>
      <c r="V20" s="95"/>
      <c r="W20" s="95"/>
      <c r="X20" s="95"/>
    </row>
    <row r="21" spans="1:29" ht="18.75" x14ac:dyDescent="0.3">
      <c r="A21" s="36">
        <f>A19+1</f>
        <v>6</v>
      </c>
      <c r="B21" s="37">
        <v>500</v>
      </c>
      <c r="C21" s="37">
        <v>1000</v>
      </c>
      <c r="D21" s="38">
        <v>1.3888888888888888E-2</v>
      </c>
      <c r="E21" s="38">
        <f>E19+D21</f>
        <v>6.9444444444444448E-2</v>
      </c>
      <c r="F21" s="42">
        <f t="shared" si="1"/>
        <v>0.39930555555555558</v>
      </c>
      <c r="G21" s="34"/>
      <c r="I21" s="83">
        <v>4</v>
      </c>
      <c r="J21" s="95" t="s">
        <v>114</v>
      </c>
      <c r="K21" s="95"/>
      <c r="L21" s="95"/>
      <c r="M21" s="95"/>
      <c r="N21" s="95"/>
      <c r="O21" s="95"/>
      <c r="P21" s="95"/>
      <c r="Q21" s="95"/>
      <c r="R21" s="95"/>
      <c r="S21" s="95"/>
      <c r="T21" s="95"/>
      <c r="U21" s="95"/>
      <c r="V21" s="95"/>
      <c r="W21" s="95"/>
      <c r="X21" s="95"/>
    </row>
    <row r="22" spans="1:29" ht="18.75" x14ac:dyDescent="0.3">
      <c r="A22" s="36">
        <f t="shared" si="0"/>
        <v>7</v>
      </c>
      <c r="B22" s="37">
        <v>600</v>
      </c>
      <c r="C22" s="37">
        <v>1200</v>
      </c>
      <c r="D22" s="38">
        <v>1.0416666666666666E-2</v>
      </c>
      <c r="E22" s="38">
        <f t="shared" si="2"/>
        <v>7.9861111111111119E-2</v>
      </c>
      <c r="F22" s="42">
        <f t="shared" si="1"/>
        <v>0.40972222222222227</v>
      </c>
      <c r="G22" s="34"/>
      <c r="I22" s="83">
        <v>5</v>
      </c>
      <c r="J22" s="95" t="s">
        <v>115</v>
      </c>
      <c r="K22" s="95"/>
      <c r="L22" s="95"/>
      <c r="M22" s="95"/>
      <c r="N22" s="95"/>
      <c r="O22" s="95"/>
      <c r="P22" s="95"/>
      <c r="Q22" s="95"/>
      <c r="R22" s="95"/>
      <c r="S22" s="95"/>
      <c r="T22" s="95"/>
      <c r="U22" s="95"/>
      <c r="V22" s="95"/>
      <c r="W22" s="95"/>
      <c r="X22" s="95"/>
    </row>
    <row r="23" spans="1:29" ht="18.75" x14ac:dyDescent="0.3">
      <c r="A23" s="36">
        <f t="shared" si="0"/>
        <v>8</v>
      </c>
      <c r="B23" s="37">
        <v>800</v>
      </c>
      <c r="C23" s="37">
        <v>1600</v>
      </c>
      <c r="D23" s="38">
        <v>1.0416666666666666E-2</v>
      </c>
      <c r="E23" s="38">
        <f t="shared" si="2"/>
        <v>9.027777777777779E-2</v>
      </c>
      <c r="F23" s="42">
        <f t="shared" si="1"/>
        <v>0.42013888888888895</v>
      </c>
      <c r="G23" s="34"/>
      <c r="I23" s="83">
        <v>6</v>
      </c>
      <c r="J23" s="95" t="s">
        <v>116</v>
      </c>
      <c r="K23" s="95"/>
      <c r="L23" s="95"/>
      <c r="M23" s="95"/>
      <c r="N23" s="95"/>
      <c r="O23" s="95"/>
      <c r="P23" s="95"/>
      <c r="Q23" s="95"/>
      <c r="R23" s="95"/>
      <c r="S23" s="95"/>
      <c r="T23" s="95"/>
      <c r="U23" s="95"/>
      <c r="V23" s="95"/>
      <c r="W23" s="95"/>
      <c r="X23" s="95"/>
    </row>
    <row r="24" spans="1:29" ht="18.75" x14ac:dyDescent="0.3">
      <c r="A24" s="35" t="s">
        <v>86</v>
      </c>
      <c r="B24" s="105" t="s">
        <v>87</v>
      </c>
      <c r="C24" s="106"/>
      <c r="D24" s="39">
        <v>1.0416666666666666E-2</v>
      </c>
      <c r="E24" s="38">
        <f t="shared" si="2"/>
        <v>0.10069444444444446</v>
      </c>
      <c r="F24" s="42">
        <f t="shared" si="1"/>
        <v>0.43055555555555564</v>
      </c>
      <c r="G24" s="34"/>
      <c r="I24" s="83">
        <v>7</v>
      </c>
      <c r="J24" s="95" t="s">
        <v>117</v>
      </c>
      <c r="K24" s="95"/>
      <c r="L24" s="95"/>
      <c r="M24" s="95"/>
      <c r="N24" s="95"/>
      <c r="O24" s="95"/>
      <c r="P24" s="95"/>
      <c r="Q24" s="95"/>
      <c r="R24" s="95"/>
      <c r="S24" s="95"/>
      <c r="T24" s="95"/>
      <c r="U24" s="95"/>
      <c r="V24" s="95"/>
      <c r="W24" s="95"/>
      <c r="X24" s="95"/>
    </row>
    <row r="25" spans="1:29" ht="18.75" x14ac:dyDescent="0.3">
      <c r="A25" s="36">
        <f>A23+1</f>
        <v>9</v>
      </c>
      <c r="B25" s="37">
        <v>1000</v>
      </c>
      <c r="C25" s="37">
        <v>2000</v>
      </c>
      <c r="D25" s="38">
        <v>1.0416666666666666E-2</v>
      </c>
      <c r="E25" s="38">
        <f>E24+D25</f>
        <v>0.11111111111111113</v>
      </c>
      <c r="F25" s="42">
        <f>F24+D25</f>
        <v>0.44097222222222232</v>
      </c>
      <c r="G25" s="34"/>
      <c r="I25" s="83">
        <v>8</v>
      </c>
      <c r="J25" s="95" t="s">
        <v>118</v>
      </c>
      <c r="K25" s="95"/>
      <c r="L25" s="95"/>
      <c r="M25" s="95"/>
      <c r="N25" s="95"/>
      <c r="O25" s="95"/>
      <c r="P25" s="95"/>
      <c r="Q25" s="95"/>
      <c r="R25" s="95"/>
      <c r="S25" s="95"/>
      <c r="T25" s="95"/>
      <c r="U25" s="95"/>
      <c r="V25" s="95"/>
      <c r="W25" s="95"/>
      <c r="X25" s="95"/>
    </row>
    <row r="26" spans="1:29" ht="18.75" x14ac:dyDescent="0.3">
      <c r="A26" s="36">
        <f t="shared" ref="A26:A33" si="3">A25+1</f>
        <v>10</v>
      </c>
      <c r="B26" s="37">
        <v>1500</v>
      </c>
      <c r="C26" s="37">
        <v>3000</v>
      </c>
      <c r="D26" s="38">
        <v>1.0416666666666666E-2</v>
      </c>
      <c r="E26" s="38">
        <f t="shared" si="2"/>
        <v>0.1215277777777778</v>
      </c>
      <c r="F26" s="42">
        <f t="shared" si="1"/>
        <v>0.45138888888888901</v>
      </c>
      <c r="G26" s="34"/>
      <c r="I26" s="83">
        <v>9</v>
      </c>
      <c r="J26" s="95" t="s">
        <v>119</v>
      </c>
      <c r="K26" s="95"/>
      <c r="L26" s="95"/>
      <c r="M26" s="95"/>
      <c r="N26" s="95"/>
      <c r="O26" s="95"/>
      <c r="P26" s="95"/>
      <c r="Q26" s="95"/>
      <c r="R26" s="95"/>
      <c r="S26" s="95"/>
      <c r="T26" s="95"/>
      <c r="U26" s="95"/>
      <c r="V26" s="95"/>
      <c r="W26" s="95"/>
      <c r="X26" s="95"/>
    </row>
    <row r="27" spans="1:29" ht="18.75" x14ac:dyDescent="0.3">
      <c r="A27" s="36">
        <f t="shared" si="3"/>
        <v>11</v>
      </c>
      <c r="B27" s="37">
        <v>2000</v>
      </c>
      <c r="C27" s="37">
        <v>4000</v>
      </c>
      <c r="D27" s="38">
        <v>1.0416666666666666E-2</v>
      </c>
      <c r="E27" s="38">
        <f t="shared" si="2"/>
        <v>0.13194444444444448</v>
      </c>
      <c r="F27" s="42">
        <f t="shared" si="1"/>
        <v>0.46180555555555569</v>
      </c>
      <c r="G27" s="34"/>
      <c r="I27" s="83">
        <v>10</v>
      </c>
      <c r="J27" s="95" t="s">
        <v>120</v>
      </c>
      <c r="K27" s="95"/>
      <c r="L27" s="95"/>
      <c r="M27" s="95"/>
      <c r="N27" s="95"/>
      <c r="O27" s="95"/>
      <c r="P27" s="95"/>
      <c r="Q27" s="95"/>
      <c r="R27" s="95"/>
      <c r="S27" s="95"/>
      <c r="T27" s="95"/>
      <c r="U27" s="95"/>
      <c r="V27" s="95"/>
      <c r="W27" s="95"/>
      <c r="X27" s="95"/>
    </row>
    <row r="28" spans="1:29" ht="26.25" x14ac:dyDescent="0.4">
      <c r="A28" s="36">
        <f t="shared" si="3"/>
        <v>12</v>
      </c>
      <c r="B28" s="37">
        <v>2500</v>
      </c>
      <c r="C28" s="37">
        <v>5000</v>
      </c>
      <c r="D28" s="38">
        <v>1.0416666666666666E-2</v>
      </c>
      <c r="E28" s="38">
        <f t="shared" si="2"/>
        <v>0.14236111111111113</v>
      </c>
      <c r="F28" s="42">
        <f t="shared" si="1"/>
        <v>0.47222222222222238</v>
      </c>
      <c r="G28" s="34"/>
      <c r="I28" s="60"/>
      <c r="J28" s="60"/>
      <c r="K28" s="60"/>
      <c r="L28" s="60"/>
      <c r="M28" s="60"/>
      <c r="N28" s="60"/>
      <c r="O28" s="60"/>
      <c r="P28" s="60"/>
      <c r="Q28" s="62"/>
      <c r="R28" s="69"/>
      <c r="S28" s="69"/>
      <c r="T28" s="43"/>
      <c r="U28" s="43"/>
      <c r="V28" s="44"/>
    </row>
    <row r="29" spans="1:29" ht="26.25" x14ac:dyDescent="0.4">
      <c r="A29" s="36">
        <f t="shared" si="3"/>
        <v>13</v>
      </c>
      <c r="B29" s="37">
        <v>3000</v>
      </c>
      <c r="C29" s="37">
        <v>6000</v>
      </c>
      <c r="D29" s="38">
        <v>1.0416666666666666E-2</v>
      </c>
      <c r="E29" s="38">
        <f t="shared" si="2"/>
        <v>0.15277777777777779</v>
      </c>
      <c r="F29" s="42">
        <f t="shared" si="1"/>
        <v>0.48263888888888906</v>
      </c>
      <c r="G29" s="34"/>
      <c r="I29" s="60"/>
      <c r="J29" s="75" t="s">
        <v>124</v>
      </c>
      <c r="K29" s="81">
        <v>8</v>
      </c>
      <c r="L29" s="108" t="s">
        <v>121</v>
      </c>
      <c r="M29" s="108"/>
      <c r="N29" s="82">
        <v>100</v>
      </c>
      <c r="O29" s="80" t="s">
        <v>123</v>
      </c>
      <c r="P29" s="82">
        <f>K29*N29</f>
        <v>800</v>
      </c>
      <c r="Q29" s="74"/>
      <c r="R29" s="45"/>
      <c r="S29" s="45"/>
      <c r="T29" s="45"/>
      <c r="U29" s="45" t="s">
        <v>126</v>
      </c>
      <c r="V29" s="45"/>
    </row>
    <row r="30" spans="1:29" ht="18.75" x14ac:dyDescent="0.3">
      <c r="A30" s="35" t="s">
        <v>86</v>
      </c>
      <c r="B30" s="103" t="s">
        <v>88</v>
      </c>
      <c r="C30" s="103"/>
      <c r="D30" s="39">
        <v>6.9444444444444441E-3</v>
      </c>
      <c r="E30" s="38">
        <f t="shared" si="2"/>
        <v>0.15972222222222224</v>
      </c>
      <c r="F30" s="42">
        <f t="shared" si="1"/>
        <v>0.48958333333333348</v>
      </c>
      <c r="G30" s="34"/>
      <c r="I30" s="60"/>
      <c r="J30" s="75" t="s">
        <v>62</v>
      </c>
      <c r="K30" s="61">
        <f>P29/100*50</f>
        <v>400</v>
      </c>
      <c r="L30" s="60"/>
      <c r="M30" s="60"/>
      <c r="N30" s="60"/>
      <c r="O30" s="60"/>
      <c r="P30" s="60"/>
      <c r="Q30" s="60"/>
      <c r="U30" t="s">
        <v>12</v>
      </c>
      <c r="V30" t="s">
        <v>127</v>
      </c>
      <c r="W30" t="s">
        <v>128</v>
      </c>
      <c r="X30" t="s">
        <v>129</v>
      </c>
      <c r="Y30" t="s">
        <v>130</v>
      </c>
      <c r="Z30" t="s">
        <v>131</v>
      </c>
      <c r="AA30" t="s">
        <v>132</v>
      </c>
      <c r="AB30" t="s">
        <v>133</v>
      </c>
      <c r="AC30" t="s">
        <v>134</v>
      </c>
    </row>
    <row r="31" spans="1:29" ht="18.75" x14ac:dyDescent="0.3">
      <c r="A31" s="36">
        <f>A29+1</f>
        <v>14</v>
      </c>
      <c r="B31" s="37">
        <v>4000</v>
      </c>
      <c r="C31" s="37">
        <v>8000</v>
      </c>
      <c r="D31" s="38">
        <v>1.0416666666666666E-2</v>
      </c>
      <c r="E31" s="38">
        <f t="shared" si="2"/>
        <v>0.1701388888888889</v>
      </c>
      <c r="F31" s="42">
        <f t="shared" si="1"/>
        <v>0.50000000000000011</v>
      </c>
      <c r="G31" s="34"/>
      <c r="I31" s="60"/>
      <c r="J31" s="75" t="s">
        <v>63</v>
      </c>
      <c r="K31" s="61">
        <f>P29/100*30</f>
        <v>240</v>
      </c>
      <c r="L31" s="60"/>
      <c r="M31" s="60"/>
      <c r="N31" s="60"/>
      <c r="O31" s="60"/>
      <c r="P31" s="60"/>
      <c r="Q31" s="60"/>
      <c r="U31">
        <v>30</v>
      </c>
      <c r="V31">
        <v>8</v>
      </c>
      <c r="W31">
        <v>20</v>
      </c>
      <c r="X31">
        <v>2</v>
      </c>
      <c r="Y31">
        <f>(U31*V31)+ (W31*X31)</f>
        <v>280</v>
      </c>
      <c r="Z31">
        <v>12</v>
      </c>
      <c r="AA31">
        <f>Y31*Z31</f>
        <v>3360</v>
      </c>
      <c r="AB31">
        <f>AA31*50</f>
        <v>168000</v>
      </c>
      <c r="AC31">
        <f>AB31/8</f>
        <v>21000</v>
      </c>
    </row>
    <row r="32" spans="1:29" ht="18.75" x14ac:dyDescent="0.3">
      <c r="A32" s="36">
        <f t="shared" si="3"/>
        <v>15</v>
      </c>
      <c r="B32" s="37">
        <v>5000</v>
      </c>
      <c r="C32" s="37">
        <v>10000</v>
      </c>
      <c r="D32" s="38">
        <v>1.0416666666666666E-2</v>
      </c>
      <c r="E32" s="38">
        <f t="shared" si="2"/>
        <v>0.18055555555555555</v>
      </c>
      <c r="F32" s="42">
        <f t="shared" si="1"/>
        <v>0.51041666666666674</v>
      </c>
      <c r="G32" s="34"/>
      <c r="I32" s="60"/>
      <c r="J32" s="75" t="s">
        <v>64</v>
      </c>
      <c r="K32" s="61">
        <f>P29/100*20</f>
        <v>160</v>
      </c>
      <c r="L32" s="60"/>
      <c r="M32" s="60"/>
      <c r="N32" s="60"/>
      <c r="O32" s="60"/>
      <c r="P32" s="60"/>
      <c r="Q32" s="60"/>
    </row>
    <row r="33" spans="1:21" x14ac:dyDescent="0.25">
      <c r="A33" s="36">
        <f t="shared" si="3"/>
        <v>16</v>
      </c>
      <c r="B33" s="37">
        <v>6000</v>
      </c>
      <c r="C33" s="37">
        <v>12000</v>
      </c>
      <c r="D33" s="38">
        <v>1.0416666666666666E-2</v>
      </c>
      <c r="E33" s="38">
        <f t="shared" si="2"/>
        <v>0.19097222222222221</v>
      </c>
      <c r="F33" s="42">
        <f t="shared" si="1"/>
        <v>0.52083333333333337</v>
      </c>
      <c r="G33" s="34"/>
    </row>
    <row r="34" spans="1:21" ht="18.75" x14ac:dyDescent="0.3">
      <c r="A34" s="36">
        <f>A33+1</f>
        <v>17</v>
      </c>
      <c r="B34" s="37">
        <v>8000</v>
      </c>
      <c r="C34" s="37">
        <v>16000</v>
      </c>
      <c r="D34" s="38">
        <v>1.0416666666666666E-2</v>
      </c>
      <c r="E34" s="38">
        <f t="shared" si="2"/>
        <v>0.20138888888888887</v>
      </c>
      <c r="F34" s="42">
        <f t="shared" si="1"/>
        <v>0.53125</v>
      </c>
      <c r="G34" s="34"/>
      <c r="M34" s="75"/>
    </row>
    <row r="35" spans="1:21" x14ac:dyDescent="0.25">
      <c r="A35" s="35" t="s">
        <v>86</v>
      </c>
      <c r="B35" s="105" t="s">
        <v>91</v>
      </c>
      <c r="C35" s="106"/>
      <c r="D35" s="39">
        <v>1.0416666666666666E-2</v>
      </c>
      <c r="E35" s="38">
        <f t="shared" si="2"/>
        <v>0.21180555555555552</v>
      </c>
      <c r="F35" s="42">
        <f t="shared" si="1"/>
        <v>0.54166666666666663</v>
      </c>
      <c r="G35" s="34"/>
    </row>
    <row r="36" spans="1:21" x14ac:dyDescent="0.25">
      <c r="A36" s="36">
        <f>A34+1</f>
        <v>18</v>
      </c>
      <c r="B36" s="37">
        <v>10000</v>
      </c>
      <c r="C36" s="37">
        <v>20000</v>
      </c>
      <c r="D36" s="38">
        <v>1.0416666666666666E-2</v>
      </c>
      <c r="E36" s="38">
        <f t="shared" si="2"/>
        <v>0.22222222222222218</v>
      </c>
      <c r="F36" s="42">
        <f t="shared" si="1"/>
        <v>0.55208333333333326</v>
      </c>
      <c r="G36" s="34"/>
    </row>
    <row r="37" spans="1:21" ht="23.25" x14ac:dyDescent="0.35">
      <c r="A37" s="36">
        <f>A36+1</f>
        <v>19</v>
      </c>
      <c r="B37" s="37">
        <v>15000</v>
      </c>
      <c r="C37" s="37">
        <v>30000</v>
      </c>
      <c r="D37" s="38">
        <v>1.0416666666666666E-2</v>
      </c>
      <c r="E37" s="38">
        <f t="shared" si="2"/>
        <v>0.23263888888888884</v>
      </c>
      <c r="F37" s="42">
        <f t="shared" si="1"/>
        <v>0.56249999999999989</v>
      </c>
      <c r="G37" s="34"/>
      <c r="J37" s="84" t="s">
        <v>122</v>
      </c>
      <c r="K37" s="84"/>
      <c r="L37" s="84"/>
      <c r="M37" s="84"/>
      <c r="N37" s="84"/>
      <c r="O37" s="84"/>
      <c r="P37" s="84"/>
      <c r="Q37" s="84"/>
      <c r="R37" s="84"/>
      <c r="S37" s="84"/>
      <c r="T37" s="84"/>
      <c r="U37" s="84"/>
    </row>
    <row r="38" spans="1:21" x14ac:dyDescent="0.25">
      <c r="A38">
        <v>19</v>
      </c>
      <c r="B38" s="40">
        <v>20000</v>
      </c>
      <c r="C38" s="40">
        <v>40000</v>
      </c>
      <c r="D38" s="38">
        <v>1.0416666666666666E-2</v>
      </c>
      <c r="E38" s="38">
        <f t="shared" si="2"/>
        <v>0.2430555555555555</v>
      </c>
      <c r="F38" s="42">
        <f t="shared" si="1"/>
        <v>0.57291666666666652</v>
      </c>
      <c r="G38" s="34"/>
    </row>
    <row r="39" spans="1:21" x14ac:dyDescent="0.25">
      <c r="A39" s="32"/>
      <c r="B39" s="104" t="s">
        <v>89</v>
      </c>
      <c r="C39" s="104"/>
      <c r="D39" s="104"/>
      <c r="E39" s="104"/>
      <c r="F39" s="33"/>
    </row>
    <row r="47" spans="1:21" ht="25.5" x14ac:dyDescent="0.4">
      <c r="A47" s="102" t="s">
        <v>93</v>
      </c>
      <c r="B47" s="102"/>
      <c r="C47" s="102"/>
      <c r="D47" s="102"/>
      <c r="E47" s="102"/>
      <c r="F47" s="102"/>
    </row>
    <row r="48" spans="1:21" ht="46.5" x14ac:dyDescent="0.25">
      <c r="A48" s="53" t="s">
        <v>85</v>
      </c>
      <c r="B48" s="53" t="s">
        <v>82</v>
      </c>
      <c r="C48" s="53" t="s">
        <v>83</v>
      </c>
      <c r="D48" s="53" t="s">
        <v>3</v>
      </c>
      <c r="E48" s="53" t="s">
        <v>84</v>
      </c>
      <c r="F48" s="53" t="s">
        <v>90</v>
      </c>
    </row>
    <row r="49" spans="1:6" ht="23.25" x14ac:dyDescent="0.35">
      <c r="A49" s="47">
        <v>1</v>
      </c>
      <c r="B49" s="48">
        <v>100</v>
      </c>
      <c r="C49" s="48">
        <v>200</v>
      </c>
      <c r="D49" s="49">
        <v>1.0416666666666666E-2</v>
      </c>
      <c r="E49" s="49">
        <f>D49</f>
        <v>1.0416666666666666E-2</v>
      </c>
      <c r="F49" s="50">
        <v>0.32291666666666669</v>
      </c>
    </row>
    <row r="50" spans="1:6" ht="23.25" x14ac:dyDescent="0.35">
      <c r="A50" s="47">
        <f>A49+1</f>
        <v>2</v>
      </c>
      <c r="B50" s="48">
        <v>200</v>
      </c>
      <c r="C50" s="48">
        <v>400</v>
      </c>
      <c r="D50" s="49">
        <v>1.0416666666666666E-2</v>
      </c>
      <c r="E50" s="49">
        <f>E49+D50</f>
        <v>2.0833333333333332E-2</v>
      </c>
      <c r="F50" s="50">
        <f>F49+D50</f>
        <v>0.33333333333333337</v>
      </c>
    </row>
    <row r="51" spans="1:6" ht="23.25" x14ac:dyDescent="0.35">
      <c r="A51" s="47">
        <f t="shared" ref="A51:A55" si="4">A50+1</f>
        <v>3</v>
      </c>
      <c r="B51" s="48">
        <v>300</v>
      </c>
      <c r="C51" s="48">
        <v>600</v>
      </c>
      <c r="D51" s="49">
        <v>1.0416666666666666E-2</v>
      </c>
      <c r="E51" s="49">
        <f t="shared" ref="E51:E56" si="5">E50+D51</f>
        <v>3.125E-2</v>
      </c>
      <c r="F51" s="50">
        <f t="shared" ref="F51:F70" si="6">F50+D51</f>
        <v>0.34375000000000006</v>
      </c>
    </row>
    <row r="52" spans="1:6" ht="23.25" x14ac:dyDescent="0.35">
      <c r="A52" s="47">
        <f t="shared" si="4"/>
        <v>4</v>
      </c>
      <c r="B52" s="48">
        <v>400</v>
      </c>
      <c r="C52" s="48">
        <v>800</v>
      </c>
      <c r="D52" s="49">
        <v>1.0416666666666666E-2</v>
      </c>
      <c r="E52" s="49">
        <f t="shared" si="5"/>
        <v>4.1666666666666664E-2</v>
      </c>
      <c r="F52" s="50">
        <f t="shared" si="6"/>
        <v>0.35416666666666674</v>
      </c>
    </row>
    <row r="53" spans="1:6" ht="23.25" x14ac:dyDescent="0.35">
      <c r="A53" s="47">
        <f t="shared" si="4"/>
        <v>5</v>
      </c>
      <c r="B53" s="48">
        <v>500</v>
      </c>
      <c r="C53" s="48">
        <v>1000</v>
      </c>
      <c r="D53" s="49">
        <v>1.0416666666666666E-2</v>
      </c>
      <c r="E53" s="49">
        <f t="shared" si="5"/>
        <v>5.2083333333333329E-2</v>
      </c>
      <c r="F53" s="50">
        <f t="shared" si="6"/>
        <v>0.36458333333333343</v>
      </c>
    </row>
    <row r="54" spans="1:6" ht="23.25" x14ac:dyDescent="0.35">
      <c r="A54" s="47">
        <v>6</v>
      </c>
      <c r="B54" s="48">
        <v>600</v>
      </c>
      <c r="C54" s="48">
        <v>1200</v>
      </c>
      <c r="D54" s="49">
        <v>1.0416666666666666E-2</v>
      </c>
      <c r="E54" s="49">
        <f t="shared" si="5"/>
        <v>6.2499999999999993E-2</v>
      </c>
      <c r="F54" s="50">
        <f t="shared" si="6"/>
        <v>0.37500000000000011</v>
      </c>
    </row>
    <row r="55" spans="1:6" ht="23.25" x14ac:dyDescent="0.35">
      <c r="A55" s="47">
        <f t="shared" si="4"/>
        <v>7</v>
      </c>
      <c r="B55" s="48">
        <v>800</v>
      </c>
      <c r="C55" s="48">
        <v>1600</v>
      </c>
      <c r="D55" s="49">
        <v>1.0416666666666666E-2</v>
      </c>
      <c r="E55" s="49">
        <f t="shared" si="5"/>
        <v>7.2916666666666657E-2</v>
      </c>
      <c r="F55" s="50">
        <f t="shared" si="6"/>
        <v>0.3854166666666668</v>
      </c>
    </row>
    <row r="56" spans="1:6" ht="23.25" x14ac:dyDescent="0.35">
      <c r="A56" s="46" t="s">
        <v>86</v>
      </c>
      <c r="B56" s="98" t="s">
        <v>87</v>
      </c>
      <c r="C56" s="98"/>
      <c r="D56" s="49">
        <v>1.3888888888888888E-2</v>
      </c>
      <c r="E56" s="49">
        <f t="shared" si="5"/>
        <v>8.6805555555555552E-2</v>
      </c>
      <c r="F56" s="50">
        <f t="shared" si="6"/>
        <v>0.39930555555555569</v>
      </c>
    </row>
    <row r="57" spans="1:6" ht="23.25" x14ac:dyDescent="0.35">
      <c r="A57" s="46"/>
      <c r="B57" s="98"/>
      <c r="C57" s="98"/>
      <c r="D57" s="51"/>
      <c r="E57" s="49">
        <f t="shared" ref="E57:E70" si="7">E56+D57</f>
        <v>8.6805555555555552E-2</v>
      </c>
      <c r="F57" s="50">
        <f t="shared" si="6"/>
        <v>0.39930555555555569</v>
      </c>
    </row>
    <row r="58" spans="1:6" ht="23.25" x14ac:dyDescent="0.35">
      <c r="A58" s="47">
        <v>8</v>
      </c>
      <c r="B58" s="48">
        <v>1000</v>
      </c>
      <c r="C58" s="48">
        <v>2000</v>
      </c>
      <c r="D58" s="49">
        <v>1.0416666666666666E-2</v>
      </c>
      <c r="E58" s="49">
        <f t="shared" si="7"/>
        <v>9.7222222222222224E-2</v>
      </c>
      <c r="F58" s="50">
        <f t="shared" si="6"/>
        <v>0.40972222222222238</v>
      </c>
    </row>
    <row r="59" spans="1:6" ht="23.25" x14ac:dyDescent="0.35">
      <c r="A59" s="47">
        <f t="shared" ref="A59:A65" si="8">A58+1</f>
        <v>9</v>
      </c>
      <c r="B59" s="48">
        <v>1500</v>
      </c>
      <c r="C59" s="48">
        <v>3000</v>
      </c>
      <c r="D59" s="49">
        <v>1.0416666666666666E-2</v>
      </c>
      <c r="E59" s="49">
        <f t="shared" si="7"/>
        <v>0.1076388888888889</v>
      </c>
      <c r="F59" s="50">
        <f t="shared" si="6"/>
        <v>0.42013888888888906</v>
      </c>
    </row>
    <row r="60" spans="1:6" ht="23.25" x14ac:dyDescent="0.35">
      <c r="A60" s="47">
        <f t="shared" si="8"/>
        <v>10</v>
      </c>
      <c r="B60" s="48">
        <v>2000</v>
      </c>
      <c r="C60" s="48">
        <v>4000</v>
      </c>
      <c r="D60" s="49">
        <v>1.0416666666666666E-2</v>
      </c>
      <c r="E60" s="49">
        <f t="shared" si="7"/>
        <v>0.11805555555555557</v>
      </c>
      <c r="F60" s="50">
        <f t="shared" si="6"/>
        <v>0.43055555555555575</v>
      </c>
    </row>
    <row r="61" spans="1:6" ht="23.25" x14ac:dyDescent="0.35">
      <c r="A61" s="47">
        <f t="shared" si="8"/>
        <v>11</v>
      </c>
      <c r="B61" s="48">
        <v>3000</v>
      </c>
      <c r="C61" s="48">
        <v>6000</v>
      </c>
      <c r="D61" s="49">
        <v>1.0416666666666666E-2</v>
      </c>
      <c r="E61" s="49">
        <f t="shared" si="7"/>
        <v>0.12847222222222224</v>
      </c>
      <c r="F61" s="50">
        <f t="shared" si="6"/>
        <v>0.44097222222222243</v>
      </c>
    </row>
    <row r="62" spans="1:6" ht="23.25" x14ac:dyDescent="0.35">
      <c r="A62" s="47">
        <f t="shared" si="8"/>
        <v>12</v>
      </c>
      <c r="B62" s="48">
        <v>4000</v>
      </c>
      <c r="C62" s="48">
        <v>8000</v>
      </c>
      <c r="D62" s="49">
        <v>1.0416666666666666E-2</v>
      </c>
      <c r="E62" s="49">
        <f t="shared" si="7"/>
        <v>0.1388888888888889</v>
      </c>
      <c r="F62" s="50">
        <f t="shared" si="6"/>
        <v>0.45138888888888912</v>
      </c>
    </row>
    <row r="63" spans="1:6" ht="23.25" x14ac:dyDescent="0.35">
      <c r="A63" s="46" t="s">
        <v>86</v>
      </c>
      <c r="B63" s="98" t="s">
        <v>88</v>
      </c>
      <c r="C63" s="98"/>
      <c r="D63" s="51">
        <v>1.0416666666666666E-2</v>
      </c>
      <c r="E63" s="49">
        <f t="shared" si="7"/>
        <v>0.14930555555555555</v>
      </c>
      <c r="F63" s="50">
        <f t="shared" si="6"/>
        <v>0.4618055555555558</v>
      </c>
    </row>
    <row r="64" spans="1:6" ht="23.25" x14ac:dyDescent="0.35">
      <c r="A64" s="47">
        <f>A62+1</f>
        <v>13</v>
      </c>
      <c r="B64" s="48">
        <v>5000</v>
      </c>
      <c r="C64" s="48">
        <v>10000</v>
      </c>
      <c r="D64" s="49">
        <v>1.0416666666666666E-2</v>
      </c>
      <c r="E64" s="49">
        <f t="shared" si="7"/>
        <v>0.15972222222222221</v>
      </c>
      <c r="F64" s="50">
        <f t="shared" si="6"/>
        <v>0.47222222222222249</v>
      </c>
    </row>
    <row r="65" spans="1:6" ht="23.25" x14ac:dyDescent="0.35">
      <c r="A65" s="47">
        <f t="shared" si="8"/>
        <v>14</v>
      </c>
      <c r="B65" s="48">
        <v>6000</v>
      </c>
      <c r="C65" s="48">
        <v>12000</v>
      </c>
      <c r="D65" s="49">
        <v>1.0416666666666666E-2</v>
      </c>
      <c r="E65" s="49">
        <f t="shared" si="7"/>
        <v>0.17013888888888887</v>
      </c>
      <c r="F65" s="50">
        <f t="shared" si="6"/>
        <v>0.48263888888888917</v>
      </c>
    </row>
    <row r="66" spans="1:6" ht="23.25" x14ac:dyDescent="0.35">
      <c r="A66" s="47">
        <v>17</v>
      </c>
      <c r="B66" s="52">
        <v>8000</v>
      </c>
      <c r="C66" s="52">
        <v>16000</v>
      </c>
      <c r="D66" s="49">
        <v>1.0416666666666666E-2</v>
      </c>
      <c r="E66" s="49">
        <f t="shared" si="7"/>
        <v>0.18055555555555552</v>
      </c>
      <c r="F66" s="50">
        <f t="shared" si="6"/>
        <v>0.49305555555555586</v>
      </c>
    </row>
    <row r="67" spans="1:6" ht="23.25" x14ac:dyDescent="0.35">
      <c r="A67" s="46" t="s">
        <v>86</v>
      </c>
      <c r="B67" s="98" t="s">
        <v>94</v>
      </c>
      <c r="C67" s="98"/>
      <c r="D67" s="49">
        <v>6.9444444444444441E-3</v>
      </c>
      <c r="E67" s="49">
        <f t="shared" si="7"/>
        <v>0.18749999999999997</v>
      </c>
      <c r="F67" s="50">
        <f t="shared" si="6"/>
        <v>0.50000000000000033</v>
      </c>
    </row>
    <row r="68" spans="1:6" ht="23.25" x14ac:dyDescent="0.35">
      <c r="A68" s="47">
        <v>18</v>
      </c>
      <c r="B68" s="52">
        <v>10000</v>
      </c>
      <c r="C68" s="52">
        <v>20000</v>
      </c>
      <c r="D68" s="49">
        <v>1.0416666666666666E-2</v>
      </c>
      <c r="E68" s="49">
        <f t="shared" si="7"/>
        <v>0.19791666666666663</v>
      </c>
      <c r="F68" s="50">
        <f t="shared" si="6"/>
        <v>0.51041666666666696</v>
      </c>
    </row>
    <row r="69" spans="1:6" ht="23.25" x14ac:dyDescent="0.35">
      <c r="A69" s="47">
        <v>19</v>
      </c>
      <c r="B69" s="48">
        <v>15000</v>
      </c>
      <c r="C69" s="48">
        <v>30000</v>
      </c>
      <c r="D69" s="49">
        <v>1.0416666666666666E-2</v>
      </c>
      <c r="E69" s="49">
        <f t="shared" si="7"/>
        <v>0.20833333333333329</v>
      </c>
      <c r="F69" s="50">
        <f t="shared" si="6"/>
        <v>0.52083333333333359</v>
      </c>
    </row>
    <row r="70" spans="1:6" ht="23.25" x14ac:dyDescent="0.35">
      <c r="A70" s="99" t="s">
        <v>89</v>
      </c>
      <c r="B70" s="100"/>
      <c r="C70" s="101"/>
      <c r="D70" s="49">
        <v>1.0416666666666666E-2</v>
      </c>
      <c r="E70" s="49">
        <f t="shared" si="7"/>
        <v>0.21874999999999994</v>
      </c>
      <c r="F70" s="50">
        <f t="shared" si="6"/>
        <v>0.53125000000000022</v>
      </c>
    </row>
  </sheetData>
  <mergeCells count="24">
    <mergeCell ref="I1:J1"/>
    <mergeCell ref="B57:C57"/>
    <mergeCell ref="B63:C63"/>
    <mergeCell ref="A70:C70"/>
    <mergeCell ref="B67:C67"/>
    <mergeCell ref="A47:F47"/>
    <mergeCell ref="B56:C56"/>
    <mergeCell ref="B30:C30"/>
    <mergeCell ref="B39:E39"/>
    <mergeCell ref="B35:C35"/>
    <mergeCell ref="B20:C20"/>
    <mergeCell ref="B24:C24"/>
    <mergeCell ref="I17:X17"/>
    <mergeCell ref="L29:M29"/>
    <mergeCell ref="J18:X18"/>
    <mergeCell ref="J19:X19"/>
    <mergeCell ref="J25:X25"/>
    <mergeCell ref="J26:X26"/>
    <mergeCell ref="J27:X27"/>
    <mergeCell ref="J20:X20"/>
    <mergeCell ref="J21:X21"/>
    <mergeCell ref="J22:X22"/>
    <mergeCell ref="J23:X23"/>
    <mergeCell ref="J24:X24"/>
  </mergeCells>
  <pageMargins left="0.7" right="0.7" top="0.75" bottom="0.75" header="0.3" footer="0.3"/>
  <pageSetup scale="41" orientation="portrait" r:id="rId1"/>
  <tableParts count="2">
    <tablePart r:id="rId2"/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D5BAA8-8B37-411A-A934-9D7CA1A5C9C6}">
  <dimension ref="A1:J19"/>
  <sheetViews>
    <sheetView tabSelected="1" workbookViewId="0">
      <selection activeCell="B20" sqref="B20"/>
    </sheetView>
  </sheetViews>
  <sheetFormatPr defaultRowHeight="15" x14ac:dyDescent="0.25"/>
  <cols>
    <col min="1" max="1" width="14.42578125" bestFit="1" customWidth="1"/>
    <col min="3" max="3" width="10.85546875" customWidth="1"/>
    <col min="4" max="4" width="12.7109375" customWidth="1"/>
    <col min="5" max="5" width="16" customWidth="1"/>
    <col min="6" max="6" width="20.7109375" customWidth="1"/>
  </cols>
  <sheetData>
    <row r="1" spans="1:10" ht="18.75" x14ac:dyDescent="0.3">
      <c r="A1" s="110" t="s">
        <v>98</v>
      </c>
      <c r="B1" s="111"/>
      <c r="C1" s="111"/>
      <c r="D1" s="111"/>
      <c r="E1" s="111"/>
      <c r="F1" s="112"/>
    </row>
    <row r="2" spans="1:10" ht="15.75" thickBot="1" x14ac:dyDescent="0.3">
      <c r="A2" s="63"/>
      <c r="F2" s="64"/>
    </row>
    <row r="3" spans="1:10" ht="18.75" x14ac:dyDescent="0.3">
      <c r="A3" s="121" t="s">
        <v>85</v>
      </c>
      <c r="B3" s="122" t="s">
        <v>82</v>
      </c>
      <c r="C3" s="122" t="s">
        <v>83</v>
      </c>
      <c r="D3" s="122" t="s">
        <v>3</v>
      </c>
      <c r="E3" s="122" t="s">
        <v>84</v>
      </c>
      <c r="F3" s="123" t="s">
        <v>90</v>
      </c>
    </row>
    <row r="4" spans="1:10" ht="18.75" x14ac:dyDescent="0.3">
      <c r="A4" s="66">
        <v>1</v>
      </c>
      <c r="B4" s="58">
        <v>100</v>
      </c>
      <c r="C4" s="58">
        <v>100</v>
      </c>
      <c r="D4" s="59">
        <v>2.0833333333333332E-2</v>
      </c>
      <c r="E4" s="59">
        <f>D4</f>
        <v>2.0833333333333332E-2</v>
      </c>
      <c r="F4" s="67">
        <v>0.33333333333333331</v>
      </c>
    </row>
    <row r="5" spans="1:10" ht="18.75" x14ac:dyDescent="0.3">
      <c r="A5" s="66">
        <f>A4+1</f>
        <v>2</v>
      </c>
      <c r="B5" s="58">
        <v>100</v>
      </c>
      <c r="C5" s="58">
        <v>200</v>
      </c>
      <c r="D5" s="59">
        <v>2.0833333333333332E-2</v>
      </c>
      <c r="E5" s="59">
        <f t="shared" ref="E5:E11" si="0">E4+D5</f>
        <v>4.1666666666666664E-2</v>
      </c>
      <c r="F5" s="67">
        <f t="shared" ref="F5:F12" si="1">F4+D4</f>
        <v>0.35416666666666663</v>
      </c>
    </row>
    <row r="6" spans="1:10" ht="18.75" x14ac:dyDescent="0.3">
      <c r="A6" s="66">
        <f t="shared" ref="A6:A9" si="2">A5+1</f>
        <v>3</v>
      </c>
      <c r="B6" s="58">
        <v>200</v>
      </c>
      <c r="C6" s="58">
        <v>400</v>
      </c>
      <c r="D6" s="59">
        <v>2.0833333333333332E-2</v>
      </c>
      <c r="E6" s="59">
        <f t="shared" si="0"/>
        <v>6.25E-2</v>
      </c>
      <c r="F6" s="67">
        <f t="shared" si="1"/>
        <v>0.37499999999999994</v>
      </c>
    </row>
    <row r="7" spans="1:10" ht="18.75" x14ac:dyDescent="0.3">
      <c r="A7" s="66" t="s">
        <v>86</v>
      </c>
      <c r="B7" s="58"/>
      <c r="C7" s="58"/>
      <c r="D7" s="59">
        <v>1.7361111111111112E-2</v>
      </c>
      <c r="E7" s="59">
        <f t="shared" si="0"/>
        <v>7.9861111111111105E-2</v>
      </c>
      <c r="F7" s="67">
        <f t="shared" si="1"/>
        <v>0.39583333333333326</v>
      </c>
    </row>
    <row r="8" spans="1:10" ht="18.75" x14ac:dyDescent="0.3">
      <c r="A8" s="66">
        <f>A6+1</f>
        <v>4</v>
      </c>
      <c r="B8" s="58">
        <v>300</v>
      </c>
      <c r="C8" s="58">
        <v>600</v>
      </c>
      <c r="D8" s="59">
        <v>2.0833333333333332E-2</v>
      </c>
      <c r="E8" s="59">
        <f t="shared" si="0"/>
        <v>0.10069444444444443</v>
      </c>
      <c r="F8" s="67">
        <f t="shared" si="1"/>
        <v>0.41319444444444436</v>
      </c>
    </row>
    <row r="9" spans="1:10" ht="18.75" x14ac:dyDescent="0.3">
      <c r="A9" s="66">
        <f t="shared" si="2"/>
        <v>5</v>
      </c>
      <c r="B9" s="58">
        <v>400</v>
      </c>
      <c r="C9" s="58">
        <v>800</v>
      </c>
      <c r="D9" s="59">
        <v>2.0833333333333332E-2</v>
      </c>
      <c r="E9" s="59">
        <f t="shared" si="0"/>
        <v>0.12152777777777776</v>
      </c>
      <c r="F9" s="67">
        <f t="shared" si="1"/>
        <v>0.43402777777777768</v>
      </c>
    </row>
    <row r="10" spans="1:10" ht="18.75" x14ac:dyDescent="0.3">
      <c r="A10" s="65" t="s">
        <v>86</v>
      </c>
      <c r="B10" s="113" t="s">
        <v>87</v>
      </c>
      <c r="C10" s="113"/>
      <c r="D10" s="59">
        <v>1.0416666666666666E-2</v>
      </c>
      <c r="E10" s="59">
        <f t="shared" si="0"/>
        <v>0.13194444444444442</v>
      </c>
      <c r="F10" s="67">
        <f t="shared" si="1"/>
        <v>0.45486111111111099</v>
      </c>
    </row>
    <row r="11" spans="1:10" ht="18.75" x14ac:dyDescent="0.3">
      <c r="A11" s="66">
        <f>A9+1</f>
        <v>6</v>
      </c>
      <c r="B11" s="58">
        <v>500</v>
      </c>
      <c r="C11" s="58">
        <v>1000</v>
      </c>
      <c r="D11" s="59">
        <v>3.125E-2</v>
      </c>
      <c r="E11" s="59">
        <f t="shared" si="0"/>
        <v>0.16319444444444442</v>
      </c>
      <c r="F11" s="67">
        <f t="shared" si="1"/>
        <v>0.46527777777777768</v>
      </c>
    </row>
    <row r="12" spans="1:10" ht="19.5" thickBot="1" x14ac:dyDescent="0.35">
      <c r="A12" s="114" t="s">
        <v>99</v>
      </c>
      <c r="B12" s="115"/>
      <c r="C12" s="115"/>
      <c r="D12" s="115"/>
      <c r="E12" s="115"/>
      <c r="F12" s="68">
        <f t="shared" si="1"/>
        <v>0.49652777777777768</v>
      </c>
    </row>
    <row r="13" spans="1:10" ht="18.75" x14ac:dyDescent="0.3">
      <c r="A13" s="60"/>
      <c r="B13" s="60"/>
      <c r="C13" s="60"/>
      <c r="D13" s="60"/>
      <c r="E13" s="60"/>
      <c r="F13" s="60"/>
    </row>
    <row r="14" spans="1:10" ht="18.75" x14ac:dyDescent="0.3">
      <c r="A14" s="61">
        <v>30</v>
      </c>
      <c r="B14" s="109" t="s">
        <v>6</v>
      </c>
      <c r="C14" s="109"/>
      <c r="D14" s="60"/>
      <c r="E14" s="60"/>
      <c r="F14" s="60"/>
    </row>
    <row r="15" spans="1:10" ht="18.75" x14ac:dyDescent="0.3">
      <c r="A15" s="62">
        <v>30000</v>
      </c>
      <c r="B15" s="119" t="s">
        <v>172</v>
      </c>
      <c r="C15" s="119"/>
      <c r="D15" s="60"/>
      <c r="E15" s="60"/>
      <c r="F15" s="60"/>
    </row>
    <row r="16" spans="1:10" ht="18.75" x14ac:dyDescent="0.3">
      <c r="A16" s="61">
        <v>20</v>
      </c>
      <c r="B16" s="109" t="s">
        <v>173</v>
      </c>
      <c r="C16" s="109"/>
      <c r="D16" s="109"/>
      <c r="E16" s="109"/>
      <c r="F16" s="109"/>
      <c r="G16" s="109"/>
      <c r="H16" s="109"/>
      <c r="I16" s="109"/>
      <c r="J16" s="109"/>
    </row>
    <row r="17" spans="1:5" ht="18.75" x14ac:dyDescent="0.3">
      <c r="A17" s="62"/>
      <c r="B17" s="120"/>
      <c r="C17" s="120"/>
      <c r="D17" s="120"/>
      <c r="E17" s="120"/>
    </row>
    <row r="18" spans="1:5" x14ac:dyDescent="0.25">
      <c r="A18" t="s">
        <v>175</v>
      </c>
      <c r="B18" t="s">
        <v>174</v>
      </c>
    </row>
    <row r="19" spans="1:5" x14ac:dyDescent="0.25">
      <c r="A19" t="s">
        <v>176</v>
      </c>
      <c r="B19" t="s">
        <v>177</v>
      </c>
    </row>
  </sheetData>
  <mergeCells count="6">
    <mergeCell ref="B17:E17"/>
    <mergeCell ref="A1:F1"/>
    <mergeCell ref="B10:C10"/>
    <mergeCell ref="A12:E12"/>
    <mergeCell ref="B14:C14"/>
    <mergeCell ref="B16:J16"/>
  </mergeCells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76A5E4-5565-440A-832C-179E16F84F55}">
  <dimension ref="A1:W26"/>
  <sheetViews>
    <sheetView workbookViewId="0">
      <selection activeCell="A2" sqref="A2"/>
    </sheetView>
  </sheetViews>
  <sheetFormatPr defaultRowHeight="15" x14ac:dyDescent="0.25"/>
  <cols>
    <col min="2" max="2" width="17" customWidth="1"/>
    <col min="3" max="3" width="13" customWidth="1"/>
    <col min="4" max="4" width="12.140625" customWidth="1"/>
    <col min="5" max="6" width="13.28515625" customWidth="1"/>
    <col min="7" max="7" width="10.5703125" hidden="1" customWidth="1"/>
    <col min="8" max="8" width="9.140625" hidden="1" customWidth="1"/>
    <col min="18" max="18" width="17.28515625" customWidth="1"/>
    <col min="19" max="19" width="11.42578125" customWidth="1"/>
    <col min="20" max="20" width="12.85546875" customWidth="1"/>
    <col min="23" max="23" width="13.5703125" customWidth="1"/>
  </cols>
  <sheetData>
    <row r="1" spans="1:23" ht="25.5" x14ac:dyDescent="0.4">
      <c r="A1" s="102" t="s">
        <v>93</v>
      </c>
      <c r="B1" s="102"/>
      <c r="C1" s="102"/>
      <c r="D1" s="102"/>
      <c r="E1" s="102"/>
      <c r="F1" s="102"/>
      <c r="R1" s="96" t="s">
        <v>109</v>
      </c>
      <c r="S1" s="97"/>
      <c r="T1" s="72" t="s">
        <v>110</v>
      </c>
      <c r="U1" s="72">
        <v>30</v>
      </c>
      <c r="V1" s="72" t="s">
        <v>102</v>
      </c>
      <c r="W1" s="72"/>
    </row>
    <row r="2" spans="1:23" ht="60" x14ac:dyDescent="0.25">
      <c r="A2" s="53" t="s">
        <v>85</v>
      </c>
      <c r="B2" s="53" t="s">
        <v>82</v>
      </c>
      <c r="C2" s="53" t="s">
        <v>83</v>
      </c>
      <c r="D2" s="53" t="s">
        <v>3</v>
      </c>
      <c r="E2" s="53" t="s">
        <v>84</v>
      </c>
      <c r="F2" s="53" t="s">
        <v>101</v>
      </c>
      <c r="G2" s="70"/>
      <c r="R2" s="71" t="s">
        <v>103</v>
      </c>
      <c r="S2" s="71" t="s">
        <v>104</v>
      </c>
      <c r="T2" s="71" t="s">
        <v>105</v>
      </c>
      <c r="U2" s="71" t="s">
        <v>106</v>
      </c>
      <c r="V2" s="71" t="s">
        <v>107</v>
      </c>
      <c r="W2" s="71" t="s">
        <v>108</v>
      </c>
    </row>
    <row r="3" spans="1:23" ht="23.25" x14ac:dyDescent="0.35">
      <c r="A3" s="47">
        <v>1</v>
      </c>
      <c r="B3" s="48">
        <v>100</v>
      </c>
      <c r="C3" s="48">
        <v>100</v>
      </c>
      <c r="D3" s="49">
        <v>1.0416666666666666E-2</v>
      </c>
      <c r="E3" s="49">
        <f>D3</f>
        <v>1.0416666666666666E-2</v>
      </c>
      <c r="F3" s="50">
        <v>0.32291666666666669</v>
      </c>
      <c r="G3" s="1"/>
      <c r="R3" s="6">
        <v>25</v>
      </c>
      <c r="S3" s="6">
        <v>4</v>
      </c>
      <c r="T3" s="6">
        <f>Table57[[#This Row],[In Game Chips Per Person]]*Table57[[#This Row],[Chip Denomination]]</f>
        <v>100</v>
      </c>
      <c r="U3" s="6">
        <f>Table57[[#This Row],[In Game Chips Per Person]]*$U$1</f>
        <v>120</v>
      </c>
      <c r="V3" s="6">
        <v>10</v>
      </c>
      <c r="W3">
        <f>Table57[[#This Row],[In Play Chips Required]]+Table57[[#This Row],[Cash Up Chips]]</f>
        <v>130</v>
      </c>
    </row>
    <row r="4" spans="1:23" ht="23.25" x14ac:dyDescent="0.35">
      <c r="A4" s="47">
        <f>A3+1</f>
        <v>2</v>
      </c>
      <c r="B4" s="48">
        <v>100</v>
      </c>
      <c r="C4" s="48">
        <v>200</v>
      </c>
      <c r="D4" s="49">
        <v>1.0416666666666666E-2</v>
      </c>
      <c r="E4" s="49">
        <f>E3+D4</f>
        <v>2.0833333333333332E-2</v>
      </c>
      <c r="F4" s="50">
        <f>F3+D3</f>
        <v>0.33333333333333337</v>
      </c>
      <c r="G4" s="1"/>
      <c r="R4" s="6">
        <v>100</v>
      </c>
      <c r="S4" s="6">
        <v>4</v>
      </c>
      <c r="T4" s="6">
        <f>Table57[[#This Row],[In Game Chips Per Person]]*Table57[[#This Row],[Chip Denomination]]</f>
        <v>400</v>
      </c>
      <c r="U4" s="6">
        <f>Table57[[#This Row],[In Game Chips Per Person]]*$U$1</f>
        <v>120</v>
      </c>
      <c r="V4" s="6">
        <v>30</v>
      </c>
      <c r="W4">
        <f>Table57[[#This Row],[In Play Chips Required]]+Table57[[#This Row],[Cash Up Chips]]</f>
        <v>150</v>
      </c>
    </row>
    <row r="5" spans="1:23" ht="23.25" x14ac:dyDescent="0.35">
      <c r="A5" s="47">
        <f t="shared" ref="A5:A10" si="0">A4+1</f>
        <v>3</v>
      </c>
      <c r="B5" s="48">
        <v>200</v>
      </c>
      <c r="C5" s="48">
        <v>400</v>
      </c>
      <c r="D5" s="49">
        <v>1.0416666666666666E-2</v>
      </c>
      <c r="E5" s="49">
        <f t="shared" ref="E5:E25" si="1">E4+D5</f>
        <v>3.125E-2</v>
      </c>
      <c r="F5" s="50">
        <f t="shared" ref="F5:F26" si="2">F4+D4</f>
        <v>0.34375000000000006</v>
      </c>
      <c r="G5" s="1"/>
      <c r="R5" s="6">
        <v>500</v>
      </c>
      <c r="S5" s="6">
        <v>3</v>
      </c>
      <c r="T5" s="6">
        <f>Table57[[#This Row],[In Game Chips Per Person]]*Table57[[#This Row],[Chip Denomination]]</f>
        <v>1500</v>
      </c>
      <c r="U5" s="6">
        <f>Table57[[#This Row],[In Game Chips Per Person]]*$U$1</f>
        <v>90</v>
      </c>
      <c r="V5" s="6">
        <v>20</v>
      </c>
      <c r="W5">
        <f>Table57[[#This Row],[In Play Chips Required]]+Table57[[#This Row],[Cash Up Chips]]</f>
        <v>110</v>
      </c>
    </row>
    <row r="6" spans="1:23" ht="23.25" x14ac:dyDescent="0.35">
      <c r="A6" s="47">
        <f t="shared" si="0"/>
        <v>4</v>
      </c>
      <c r="B6" s="48">
        <v>300</v>
      </c>
      <c r="C6" s="48">
        <v>600</v>
      </c>
      <c r="D6" s="49">
        <v>1.0416666666666666E-2</v>
      </c>
      <c r="E6" s="49">
        <f t="shared" si="1"/>
        <v>4.1666666666666664E-2</v>
      </c>
      <c r="F6" s="50">
        <f t="shared" si="2"/>
        <v>0.35416666666666674</v>
      </c>
      <c r="G6" s="1"/>
      <c r="R6" s="6">
        <v>1000</v>
      </c>
      <c r="S6" s="6">
        <v>5</v>
      </c>
      <c r="T6" s="6">
        <f>Table57[[#This Row],[In Game Chips Per Person]]*Table57[[#This Row],[Chip Denomination]]</f>
        <v>5000</v>
      </c>
      <c r="U6" s="6">
        <f>Table57[[#This Row],[In Game Chips Per Person]]*$U$1</f>
        <v>150</v>
      </c>
      <c r="V6" s="6">
        <v>100</v>
      </c>
      <c r="W6">
        <f>Table57[[#This Row],[In Play Chips Required]]+Table57[[#This Row],[Cash Up Chips]]</f>
        <v>250</v>
      </c>
    </row>
    <row r="7" spans="1:23" ht="23.25" x14ac:dyDescent="0.35">
      <c r="A7" s="99" t="s">
        <v>86</v>
      </c>
      <c r="B7" s="100"/>
      <c r="C7" s="101"/>
      <c r="D7" s="49">
        <v>6.9444444444444441E-3</v>
      </c>
      <c r="E7" s="49">
        <f t="shared" si="1"/>
        <v>4.8611111111111105E-2</v>
      </c>
      <c r="F7" s="50">
        <f t="shared" si="2"/>
        <v>0.36458333333333343</v>
      </c>
      <c r="G7" s="1"/>
      <c r="R7" s="6">
        <v>5000</v>
      </c>
      <c r="S7" s="6">
        <v>1</v>
      </c>
      <c r="T7" s="6">
        <f>Table57[[#This Row],[In Game Chips Per Person]]*Table57[[#This Row],[Chip Denomination]]</f>
        <v>5000</v>
      </c>
      <c r="U7" s="6">
        <f>Table57[[#This Row],[In Game Chips Per Person]]*$U$1</f>
        <v>30</v>
      </c>
      <c r="V7" s="6">
        <v>20</v>
      </c>
      <c r="W7">
        <f>Table57[[#This Row],[In Play Chips Required]]+Table57[[#This Row],[Cash Up Chips]]</f>
        <v>50</v>
      </c>
    </row>
    <row r="8" spans="1:23" ht="23.25" x14ac:dyDescent="0.35">
      <c r="A8" s="47">
        <f>A6+1</f>
        <v>5</v>
      </c>
      <c r="B8" s="48">
        <v>400</v>
      </c>
      <c r="C8" s="48">
        <v>800</v>
      </c>
      <c r="D8" s="49">
        <v>1.0416666666666666E-2</v>
      </c>
      <c r="E8" s="49">
        <f t="shared" si="1"/>
        <v>5.9027777777777769E-2</v>
      </c>
      <c r="F8" s="50">
        <f t="shared" si="2"/>
        <v>0.37152777777777785</v>
      </c>
      <c r="G8" s="1"/>
      <c r="R8" s="6">
        <v>10000</v>
      </c>
      <c r="S8" s="6">
        <v>0</v>
      </c>
      <c r="T8" s="6">
        <f>Table57[[#This Row],[In Game Chips Per Person]]*Table57[[#This Row],[Chip Denomination]]</f>
        <v>0</v>
      </c>
      <c r="U8" s="6">
        <f>Table57[[#This Row],[In Game Chips Per Person]]*$U$1</f>
        <v>0</v>
      </c>
      <c r="V8" s="6">
        <v>50</v>
      </c>
      <c r="W8">
        <f>Table57[[#This Row],[In Play Chips Required]]+Table57[[#This Row],[Cash Up Chips]]</f>
        <v>50</v>
      </c>
    </row>
    <row r="9" spans="1:23" ht="23.25" x14ac:dyDescent="0.35">
      <c r="A9" s="47">
        <v>6</v>
      </c>
      <c r="B9" s="48">
        <v>500</v>
      </c>
      <c r="C9" s="48">
        <v>1000</v>
      </c>
      <c r="D9" s="49">
        <v>1.0416666666666666E-2</v>
      </c>
      <c r="E9" s="49">
        <f>E8+D9</f>
        <v>6.9444444444444434E-2</v>
      </c>
      <c r="F9" s="50">
        <f t="shared" si="2"/>
        <v>0.38194444444444453</v>
      </c>
      <c r="G9" s="1"/>
      <c r="R9" s="6" t="s">
        <v>9</v>
      </c>
      <c r="S9" s="6">
        <f>SUBTOTAL(109,Table57[In Game Chips Per Person])</f>
        <v>17</v>
      </c>
      <c r="T9" s="6">
        <f>SUBTOTAL(109,Table57[Chip Value Per Person])</f>
        <v>12000</v>
      </c>
      <c r="U9" s="6">
        <f>SUBTOTAL(109,Table57[In Play Chips Required])</f>
        <v>510</v>
      </c>
      <c r="V9" s="6">
        <f>SUBTOTAL(109,Table57[Cash Up Chips])</f>
        <v>230</v>
      </c>
      <c r="W9">
        <f>SUBTOTAL(109,Table57[Total Chips Required])</f>
        <v>740</v>
      </c>
    </row>
    <row r="10" spans="1:23" ht="23.25" x14ac:dyDescent="0.35">
      <c r="A10" s="47">
        <f t="shared" si="0"/>
        <v>7</v>
      </c>
      <c r="B10" s="48">
        <v>600</v>
      </c>
      <c r="C10" s="48">
        <v>1200</v>
      </c>
      <c r="D10" s="49">
        <v>1.0416666666666666E-2</v>
      </c>
      <c r="E10" s="49">
        <f t="shared" si="1"/>
        <v>7.9861111111111105E-2</v>
      </c>
      <c r="F10" s="50">
        <f t="shared" si="2"/>
        <v>0.39236111111111122</v>
      </c>
      <c r="G10" s="1"/>
    </row>
    <row r="11" spans="1:23" ht="23.25" x14ac:dyDescent="0.35">
      <c r="A11" s="47">
        <f>A10+1</f>
        <v>8</v>
      </c>
      <c r="B11" s="48">
        <v>800</v>
      </c>
      <c r="C11" s="48">
        <v>1600</v>
      </c>
      <c r="D11" s="49">
        <v>1.0416666666666666E-2</v>
      </c>
      <c r="E11" s="49">
        <f t="shared" si="1"/>
        <v>9.0277777777777776E-2</v>
      </c>
      <c r="F11" s="50">
        <f t="shared" si="2"/>
        <v>0.4027777777777779</v>
      </c>
      <c r="G11" s="1"/>
    </row>
    <row r="12" spans="1:23" ht="23.25" x14ac:dyDescent="0.35">
      <c r="A12" s="116" t="s">
        <v>100</v>
      </c>
      <c r="B12" s="117"/>
      <c r="C12" s="118"/>
      <c r="D12" s="49">
        <v>1.0416666666666666E-2</v>
      </c>
      <c r="E12" s="49">
        <f t="shared" si="1"/>
        <v>0.10069444444444445</v>
      </c>
      <c r="F12" s="50">
        <f t="shared" si="2"/>
        <v>0.41319444444444459</v>
      </c>
      <c r="G12" s="1"/>
    </row>
    <row r="13" spans="1:23" ht="23.25" x14ac:dyDescent="0.35">
      <c r="A13" s="47">
        <v>9</v>
      </c>
      <c r="B13" s="48">
        <v>1000</v>
      </c>
      <c r="C13" s="48">
        <v>2000</v>
      </c>
      <c r="D13" s="49">
        <v>1.0416666666666666E-2</v>
      </c>
      <c r="E13" s="49">
        <f t="shared" si="1"/>
        <v>0.11111111111111112</v>
      </c>
      <c r="F13" s="50">
        <f t="shared" si="2"/>
        <v>0.42361111111111127</v>
      </c>
      <c r="G13" s="1"/>
    </row>
    <row r="14" spans="1:23" ht="23.25" x14ac:dyDescent="0.35">
      <c r="A14" s="47">
        <f t="shared" ref="A14:A20" si="3">A13+1</f>
        <v>10</v>
      </c>
      <c r="B14" s="48">
        <v>1500</v>
      </c>
      <c r="C14" s="48">
        <v>3000</v>
      </c>
      <c r="D14" s="49">
        <v>1.0416666666666666E-2</v>
      </c>
      <c r="E14" s="49">
        <f t="shared" si="1"/>
        <v>0.12152777777777779</v>
      </c>
      <c r="F14" s="50">
        <f t="shared" si="2"/>
        <v>0.43402777777777796</v>
      </c>
      <c r="G14" s="1"/>
    </row>
    <row r="15" spans="1:23" ht="23.25" x14ac:dyDescent="0.35">
      <c r="A15" s="47">
        <f t="shared" si="3"/>
        <v>11</v>
      </c>
      <c r="B15" s="48">
        <v>2000</v>
      </c>
      <c r="C15" s="48">
        <v>4000</v>
      </c>
      <c r="D15" s="49">
        <v>1.0416666666666666E-2</v>
      </c>
      <c r="E15" s="49">
        <f t="shared" si="1"/>
        <v>0.13194444444444445</v>
      </c>
      <c r="F15" s="50">
        <f t="shared" si="2"/>
        <v>0.44444444444444464</v>
      </c>
      <c r="G15" s="1"/>
    </row>
    <row r="16" spans="1:23" ht="23.25" x14ac:dyDescent="0.35">
      <c r="A16" s="47">
        <f t="shared" si="3"/>
        <v>12</v>
      </c>
      <c r="B16" s="48">
        <v>3000</v>
      </c>
      <c r="C16" s="48">
        <v>6000</v>
      </c>
      <c r="D16" s="49">
        <v>1.0416666666666666E-2</v>
      </c>
      <c r="E16" s="49">
        <f t="shared" si="1"/>
        <v>0.1423611111111111</v>
      </c>
      <c r="F16" s="50">
        <f t="shared" si="2"/>
        <v>0.45486111111111133</v>
      </c>
      <c r="G16" s="1"/>
    </row>
    <row r="17" spans="1:7" ht="23.25" x14ac:dyDescent="0.35">
      <c r="A17" s="46" t="s">
        <v>86</v>
      </c>
      <c r="B17" s="98" t="s">
        <v>88</v>
      </c>
      <c r="C17" s="98"/>
      <c r="D17" s="49">
        <v>6.9444444444444441E-3</v>
      </c>
      <c r="E17" s="49">
        <f t="shared" si="1"/>
        <v>0.14930555555555555</v>
      </c>
      <c r="F17" s="50">
        <f t="shared" si="2"/>
        <v>0.46527777777777801</v>
      </c>
      <c r="G17" s="1"/>
    </row>
    <row r="18" spans="1:7" ht="23.25" x14ac:dyDescent="0.35">
      <c r="A18" s="47">
        <f>A16+1</f>
        <v>13</v>
      </c>
      <c r="B18" s="48">
        <v>4000</v>
      </c>
      <c r="C18" s="48">
        <v>8000</v>
      </c>
      <c r="D18" s="49">
        <v>1.0416666666666666E-2</v>
      </c>
      <c r="E18" s="49">
        <f t="shared" si="1"/>
        <v>0.15972222222222221</v>
      </c>
      <c r="F18" s="50">
        <f t="shared" si="2"/>
        <v>0.47222222222222243</v>
      </c>
      <c r="G18" s="1"/>
    </row>
    <row r="19" spans="1:7" ht="23.25" x14ac:dyDescent="0.35">
      <c r="A19" s="47">
        <f>A18+1</f>
        <v>14</v>
      </c>
      <c r="B19" s="48">
        <v>5000</v>
      </c>
      <c r="C19" s="48">
        <v>10000</v>
      </c>
      <c r="D19" s="49">
        <v>1.0416666666666666E-2</v>
      </c>
      <c r="E19" s="49">
        <f t="shared" si="1"/>
        <v>0.17013888888888887</v>
      </c>
      <c r="F19" s="50">
        <f t="shared" si="2"/>
        <v>0.48263888888888912</v>
      </c>
      <c r="G19" s="1"/>
    </row>
    <row r="20" spans="1:7" ht="23.25" x14ac:dyDescent="0.35">
      <c r="A20" s="47">
        <f t="shared" si="3"/>
        <v>15</v>
      </c>
      <c r="B20" s="48">
        <v>6000</v>
      </c>
      <c r="C20" s="48">
        <v>12000</v>
      </c>
      <c r="D20" s="49">
        <v>1.0416666666666666E-2</v>
      </c>
      <c r="E20" s="49">
        <f t="shared" si="1"/>
        <v>0.18055555555555552</v>
      </c>
      <c r="F20" s="50">
        <f t="shared" si="2"/>
        <v>0.4930555555555558</v>
      </c>
      <c r="G20" s="1"/>
    </row>
    <row r="21" spans="1:7" ht="23.25" x14ac:dyDescent="0.35">
      <c r="A21" s="47">
        <f>A20+1</f>
        <v>16</v>
      </c>
      <c r="B21" s="52">
        <v>8000</v>
      </c>
      <c r="C21" s="52">
        <v>16000</v>
      </c>
      <c r="D21" s="49">
        <v>1.0416666666666666E-2</v>
      </c>
      <c r="E21" s="49">
        <f t="shared" si="1"/>
        <v>0.19097222222222218</v>
      </c>
      <c r="F21" s="50">
        <f t="shared" si="2"/>
        <v>0.50347222222222243</v>
      </c>
      <c r="G21" s="1"/>
    </row>
    <row r="22" spans="1:7" ht="23.25" x14ac:dyDescent="0.35">
      <c r="A22" s="46" t="s">
        <v>86</v>
      </c>
      <c r="B22" s="98" t="s">
        <v>94</v>
      </c>
      <c r="C22" s="98"/>
      <c r="D22" s="49">
        <v>3.472222222222222E-3</v>
      </c>
      <c r="E22" s="49">
        <f t="shared" si="1"/>
        <v>0.19444444444444439</v>
      </c>
      <c r="F22" s="50">
        <f t="shared" si="2"/>
        <v>0.51388888888888906</v>
      </c>
      <c r="G22" s="1"/>
    </row>
    <row r="23" spans="1:7" ht="23.25" x14ac:dyDescent="0.35">
      <c r="A23" s="47">
        <f>A21+1</f>
        <v>17</v>
      </c>
      <c r="B23" s="52">
        <v>10000</v>
      </c>
      <c r="C23" s="52">
        <v>20000</v>
      </c>
      <c r="D23" s="49">
        <v>6.9444444444444441E-3</v>
      </c>
      <c r="E23" s="49">
        <f t="shared" si="1"/>
        <v>0.20138888888888884</v>
      </c>
      <c r="F23" s="50">
        <f t="shared" si="2"/>
        <v>0.51736111111111127</v>
      </c>
      <c r="G23" s="1"/>
    </row>
    <row r="24" spans="1:7" ht="23.25" x14ac:dyDescent="0.35">
      <c r="A24" s="47">
        <f>A23+1</f>
        <v>18</v>
      </c>
      <c r="B24" s="48">
        <v>15000</v>
      </c>
      <c r="C24" s="48">
        <v>30000</v>
      </c>
      <c r="D24" s="49">
        <v>6.9444444444444441E-3</v>
      </c>
      <c r="E24" s="49">
        <f t="shared" si="1"/>
        <v>0.20833333333333329</v>
      </c>
      <c r="F24" s="50">
        <f t="shared" si="2"/>
        <v>0.52430555555555569</v>
      </c>
      <c r="G24" s="1"/>
    </row>
    <row r="25" spans="1:7" ht="23.25" x14ac:dyDescent="0.35">
      <c r="A25" s="47">
        <f>A24+1</f>
        <v>19</v>
      </c>
      <c r="B25" s="56">
        <v>20000</v>
      </c>
      <c r="C25" s="57">
        <v>40000</v>
      </c>
      <c r="D25" s="49">
        <v>6.9444444444444441E-3</v>
      </c>
      <c r="E25" s="49">
        <f t="shared" si="1"/>
        <v>0.21527777777777773</v>
      </c>
      <c r="F25" s="50">
        <f t="shared" si="2"/>
        <v>0.53125000000000011</v>
      </c>
      <c r="G25" s="1"/>
    </row>
    <row r="26" spans="1:7" ht="23.25" x14ac:dyDescent="0.35">
      <c r="A26" s="99" t="s">
        <v>89</v>
      </c>
      <c r="B26" s="100"/>
      <c r="C26" s="101"/>
      <c r="D26" s="49"/>
      <c r="E26" s="49"/>
      <c r="F26" s="50">
        <f t="shared" si="2"/>
        <v>0.53819444444444453</v>
      </c>
      <c r="G26" s="1"/>
    </row>
  </sheetData>
  <mergeCells count="7">
    <mergeCell ref="R1:S1"/>
    <mergeCell ref="A26:C26"/>
    <mergeCell ref="A1:F1"/>
    <mergeCell ref="B22:C22"/>
    <mergeCell ref="A7:C7"/>
    <mergeCell ref="A12:C12"/>
    <mergeCell ref="B17:C17"/>
  </mergeCells>
  <pageMargins left="0.7" right="0.7" top="0.75" bottom="0.75" header="0.3" footer="0.3"/>
  <pageSetup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DCDBF9-F0DA-4C62-BCD4-98A15CFEB966}">
  <dimension ref="A1:C24"/>
  <sheetViews>
    <sheetView workbookViewId="0">
      <selection activeCell="B27" sqref="B27"/>
    </sheetView>
  </sheetViews>
  <sheetFormatPr defaultRowHeight="15" x14ac:dyDescent="0.25"/>
  <cols>
    <col min="1" max="1" width="32.28515625" style="85" bestFit="1" customWidth="1"/>
    <col min="2" max="2" width="36.7109375" style="85" bestFit="1" customWidth="1"/>
    <col min="3" max="3" width="20.140625" style="85" bestFit="1" customWidth="1"/>
    <col min="4" max="4" width="13.28515625" style="85" bestFit="1" customWidth="1"/>
    <col min="5" max="16384" width="9.140625" style="85"/>
  </cols>
  <sheetData>
    <row r="1" spans="1:3" ht="26.25" x14ac:dyDescent="0.4">
      <c r="A1" s="88" t="s">
        <v>135</v>
      </c>
      <c r="B1" s="88" t="s">
        <v>140</v>
      </c>
      <c r="C1"/>
    </row>
    <row r="2" spans="1:3" ht="26.25" x14ac:dyDescent="0.4">
      <c r="A2" s="89" t="s">
        <v>136</v>
      </c>
      <c r="B2" s="90">
        <v>19250</v>
      </c>
      <c r="C2"/>
    </row>
    <row r="3" spans="1:3" ht="26.25" x14ac:dyDescent="0.4">
      <c r="A3" s="89" t="s">
        <v>34</v>
      </c>
      <c r="B3" s="90">
        <v>17750</v>
      </c>
      <c r="C3"/>
    </row>
    <row r="4" spans="1:3" ht="26.25" x14ac:dyDescent="0.4">
      <c r="A4" s="89" t="s">
        <v>144</v>
      </c>
      <c r="B4" s="90">
        <v>11750</v>
      </c>
      <c r="C4"/>
    </row>
    <row r="5" spans="1:3" ht="26.25" x14ac:dyDescent="0.4">
      <c r="A5" s="89" t="s">
        <v>37</v>
      </c>
      <c r="B5" s="90">
        <v>11500</v>
      </c>
      <c r="C5"/>
    </row>
    <row r="6" spans="1:3" ht="26.25" x14ac:dyDescent="0.4">
      <c r="A6" s="89" t="s">
        <v>35</v>
      </c>
      <c r="B6" s="90">
        <v>10750</v>
      </c>
      <c r="C6"/>
    </row>
    <row r="7" spans="1:3" ht="26.25" x14ac:dyDescent="0.4">
      <c r="A7" s="89" t="s">
        <v>33</v>
      </c>
      <c r="B7" s="90">
        <v>8000</v>
      </c>
      <c r="C7"/>
    </row>
    <row r="8" spans="1:3" ht="26.25" x14ac:dyDescent="0.4">
      <c r="A8" s="89" t="s">
        <v>137</v>
      </c>
      <c r="B8" s="90">
        <v>7500</v>
      </c>
      <c r="C8"/>
    </row>
    <row r="9" spans="1:3" ht="26.25" x14ac:dyDescent="0.4">
      <c r="A9" s="89" t="s">
        <v>141</v>
      </c>
      <c r="B9" s="90">
        <v>5250</v>
      </c>
      <c r="C9"/>
    </row>
    <row r="10" spans="1:3" ht="26.25" x14ac:dyDescent="0.4">
      <c r="A10" s="89" t="s">
        <v>138</v>
      </c>
      <c r="B10" s="90">
        <v>4500</v>
      </c>
      <c r="C10"/>
    </row>
    <row r="11" spans="1:3" ht="26.25" x14ac:dyDescent="0.4">
      <c r="A11" s="89" t="s">
        <v>170</v>
      </c>
      <c r="B11" s="90">
        <v>0</v>
      </c>
    </row>
    <row r="12" spans="1:3" ht="26.25" x14ac:dyDescent="0.4">
      <c r="A12" s="89" t="s">
        <v>139</v>
      </c>
      <c r="B12" s="90">
        <v>96250</v>
      </c>
    </row>
    <row r="16" spans="1:3" x14ac:dyDescent="0.25">
      <c r="A16" s="86"/>
      <c r="B16" s="86"/>
      <c r="C16" s="86"/>
    </row>
    <row r="17" spans="1:1" x14ac:dyDescent="0.25">
      <c r="A17" s="87"/>
    </row>
    <row r="18" spans="1:1" x14ac:dyDescent="0.25">
      <c r="A18" s="87"/>
    </row>
    <row r="19" spans="1:1" x14ac:dyDescent="0.25">
      <c r="A19" s="87"/>
    </row>
    <row r="20" spans="1:1" x14ac:dyDescent="0.25">
      <c r="A20" s="87"/>
    </row>
    <row r="21" spans="1:1" x14ac:dyDescent="0.25">
      <c r="A21" s="87"/>
    </row>
    <row r="22" spans="1:1" x14ac:dyDescent="0.25">
      <c r="A22" s="87"/>
    </row>
    <row r="23" spans="1:1" x14ac:dyDescent="0.25">
      <c r="A23" s="87"/>
    </row>
    <row r="24" spans="1:1" x14ac:dyDescent="0.25">
      <c r="A24" s="87"/>
    </row>
  </sheetData>
  <pageMargins left="0.7" right="0.7" top="0.75" bottom="0.75" header="0.3" footer="0.3"/>
  <pageSetup orientation="portrait" r:id="rId2"/>
  <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DFF133-6784-41F0-BD25-1576138B627F}">
  <dimension ref="A1:B12"/>
  <sheetViews>
    <sheetView topLeftCell="A4" workbookViewId="0">
      <selection activeCell="AE25" sqref="AE25"/>
    </sheetView>
  </sheetViews>
  <sheetFormatPr defaultRowHeight="15" x14ac:dyDescent="0.25"/>
  <cols>
    <col min="1" max="1" width="18.42578125" bestFit="1" customWidth="1"/>
    <col min="2" max="2" width="10.7109375" bestFit="1" customWidth="1"/>
  </cols>
  <sheetData>
    <row r="1" spans="1:2" x14ac:dyDescent="0.25">
      <c r="A1" s="91" t="s">
        <v>135</v>
      </c>
      <c r="B1" s="32" t="s">
        <v>142</v>
      </c>
    </row>
    <row r="2" spans="1:2" x14ac:dyDescent="0.25">
      <c r="A2" s="92" t="s">
        <v>34</v>
      </c>
      <c r="B2" s="93">
        <v>125</v>
      </c>
    </row>
    <row r="3" spans="1:2" x14ac:dyDescent="0.25">
      <c r="A3" s="92" t="s">
        <v>33</v>
      </c>
      <c r="B3" s="93">
        <v>100</v>
      </c>
    </row>
    <row r="4" spans="1:2" x14ac:dyDescent="0.25">
      <c r="A4" s="92" t="s">
        <v>136</v>
      </c>
      <c r="B4" s="93">
        <v>75</v>
      </c>
    </row>
    <row r="5" spans="1:2" x14ac:dyDescent="0.25">
      <c r="A5" s="92" t="s">
        <v>144</v>
      </c>
      <c r="B5" s="93">
        <v>25</v>
      </c>
    </row>
    <row r="6" spans="1:2" x14ac:dyDescent="0.25">
      <c r="A6" s="92" t="s">
        <v>137</v>
      </c>
      <c r="B6" s="93">
        <v>-10</v>
      </c>
    </row>
    <row r="7" spans="1:2" x14ac:dyDescent="0.25">
      <c r="A7" s="92" t="s">
        <v>170</v>
      </c>
      <c r="B7" s="93">
        <v>-30</v>
      </c>
    </row>
    <row r="8" spans="1:2" x14ac:dyDescent="0.25">
      <c r="A8" s="92" t="s">
        <v>141</v>
      </c>
      <c r="B8" s="93">
        <v>-45</v>
      </c>
    </row>
    <row r="9" spans="1:2" x14ac:dyDescent="0.25">
      <c r="A9" s="92" t="s">
        <v>35</v>
      </c>
      <c r="B9" s="93">
        <v>-75</v>
      </c>
    </row>
    <row r="10" spans="1:2" x14ac:dyDescent="0.25">
      <c r="A10" s="92" t="s">
        <v>138</v>
      </c>
      <c r="B10" s="93">
        <v>-100</v>
      </c>
    </row>
    <row r="11" spans="1:2" x14ac:dyDescent="0.25">
      <c r="A11" s="92" t="s">
        <v>37</v>
      </c>
      <c r="B11" s="93">
        <v>-120</v>
      </c>
    </row>
    <row r="12" spans="1:2" x14ac:dyDescent="0.25">
      <c r="A12" s="92" t="s">
        <v>139</v>
      </c>
      <c r="B12" s="32">
        <v>-55</v>
      </c>
    </row>
  </sheetData>
  <pageMargins left="0.7" right="0.7" top="0.75" bottom="0.75" header="0.3" footer="0.3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5CC613-796B-4525-AE24-2E3885144ECF}">
  <dimension ref="A1:O51"/>
  <sheetViews>
    <sheetView workbookViewId="0">
      <selection activeCell="X9" sqref="X9"/>
    </sheetView>
  </sheetViews>
  <sheetFormatPr defaultRowHeight="15" x14ac:dyDescent="0.25"/>
  <cols>
    <col min="1" max="1" width="17" bestFit="1" customWidth="1"/>
    <col min="2" max="2" width="11.42578125" bestFit="1" customWidth="1"/>
    <col min="3" max="3" width="9.28515625" bestFit="1" customWidth="1"/>
    <col min="4" max="4" width="8.85546875" bestFit="1" customWidth="1"/>
    <col min="5" max="5" width="10.7109375" bestFit="1" customWidth="1"/>
    <col min="6" max="6" width="7.42578125" bestFit="1" customWidth="1"/>
    <col min="7" max="7" width="18.5703125" bestFit="1" customWidth="1"/>
    <col min="12" max="12" width="11.42578125" bestFit="1" customWidth="1"/>
    <col min="13" max="13" width="11.42578125" hidden="1" customWidth="1"/>
    <col min="14" max="14" width="18.5703125" hidden="1" customWidth="1"/>
    <col min="15" max="15" width="28.42578125" hidden="1" customWidth="1"/>
    <col min="16" max="16" width="0" hidden="1" customWidth="1"/>
  </cols>
  <sheetData>
    <row r="1" spans="1:15" x14ac:dyDescent="0.25">
      <c r="A1" t="s">
        <v>145</v>
      </c>
      <c r="B1" t="s">
        <v>146</v>
      </c>
      <c r="C1" t="s">
        <v>147</v>
      </c>
      <c r="D1" t="s">
        <v>148</v>
      </c>
      <c r="E1" t="s">
        <v>149</v>
      </c>
      <c r="F1" t="s">
        <v>15</v>
      </c>
      <c r="G1" t="s">
        <v>164</v>
      </c>
      <c r="M1" t="s">
        <v>146</v>
      </c>
      <c r="N1" t="s">
        <v>150</v>
      </c>
      <c r="O1" t="s">
        <v>151</v>
      </c>
    </row>
    <row r="2" spans="1:15" x14ac:dyDescent="0.25">
      <c r="A2">
        <v>1</v>
      </c>
      <c r="B2">
        <v>2</v>
      </c>
      <c r="C2" s="25">
        <v>30</v>
      </c>
      <c r="D2" s="25">
        <v>0</v>
      </c>
      <c r="E2" s="25">
        <v>105</v>
      </c>
      <c r="F2" s="25">
        <f>qry_Player_Stats[[#This Row],[CashOut]]-(qry_Player_Stats[[#This Row],[BuyIn]]+qry_Player_Stats[[#This Row],[Rebuy]])</f>
        <v>75</v>
      </c>
      <c r="G2" t="str">
        <f>VLOOKUP(qry_Player_Stats[[#This Row],[PlayerNo]],Players__2[[PlayerNo]:[FullName]],2,TRUE)</f>
        <v>Ciaran Lynch</v>
      </c>
      <c r="M2">
        <v>1</v>
      </c>
      <c r="N2" t="s">
        <v>34</v>
      </c>
      <c r="O2" t="s">
        <v>152</v>
      </c>
    </row>
    <row r="3" spans="1:15" x14ac:dyDescent="0.25">
      <c r="A3">
        <v>1</v>
      </c>
      <c r="B3">
        <v>5</v>
      </c>
      <c r="C3" s="25">
        <v>30</v>
      </c>
      <c r="D3" s="25">
        <v>20</v>
      </c>
      <c r="E3" s="25">
        <v>25</v>
      </c>
      <c r="F3" s="25">
        <f>qry_Player_Stats[[#This Row],[CashOut]]-(qry_Player_Stats[[#This Row],[BuyIn]]+qry_Player_Stats[[#This Row],[Rebuy]])</f>
        <v>-25</v>
      </c>
      <c r="G3" t="str">
        <f>VLOOKUP(qry_Player_Stats[[#This Row],[PlayerNo]],Players__2[[PlayerNo]:[FullName]],2,TRUE)</f>
        <v>Morgan Mooney</v>
      </c>
      <c r="M3">
        <v>2</v>
      </c>
      <c r="N3" t="s">
        <v>33</v>
      </c>
      <c r="O3" t="s">
        <v>153</v>
      </c>
    </row>
    <row r="4" spans="1:15" x14ac:dyDescent="0.25">
      <c r="A4">
        <v>1</v>
      </c>
      <c r="B4">
        <v>6</v>
      </c>
      <c r="C4" s="25">
        <v>30</v>
      </c>
      <c r="D4" s="25">
        <v>0</v>
      </c>
      <c r="E4" s="25">
        <v>0</v>
      </c>
      <c r="F4" s="25">
        <f>qry_Player_Stats[[#This Row],[CashOut]]-(qry_Player_Stats[[#This Row],[BuyIn]]+qry_Player_Stats[[#This Row],[Rebuy]])</f>
        <v>-30</v>
      </c>
      <c r="G4" t="str">
        <f>VLOOKUP(qry_Player_Stats[[#This Row],[PlayerNo]],Players__2[[PlayerNo]:[FullName]],2,TRUE)</f>
        <v>Kevin Lee</v>
      </c>
      <c r="M4">
        <v>3</v>
      </c>
      <c r="N4" t="s">
        <v>35</v>
      </c>
      <c r="O4" t="s">
        <v>154</v>
      </c>
    </row>
    <row r="5" spans="1:15" x14ac:dyDescent="0.25">
      <c r="A5">
        <v>1</v>
      </c>
      <c r="B5">
        <v>3</v>
      </c>
      <c r="C5" s="25">
        <v>30</v>
      </c>
      <c r="D5" s="25">
        <v>20</v>
      </c>
      <c r="E5" s="25">
        <v>40</v>
      </c>
      <c r="F5" s="25">
        <f>qry_Player_Stats[[#This Row],[CashOut]]-(qry_Player_Stats[[#This Row],[BuyIn]]+qry_Player_Stats[[#This Row],[Rebuy]])</f>
        <v>-10</v>
      </c>
      <c r="G5" t="str">
        <f>VLOOKUP(qry_Player_Stats[[#This Row],[PlayerNo]],Players__2[[PlayerNo]:[FullName]],2,TRUE)</f>
        <v>Barry Hunter</v>
      </c>
      <c r="M5">
        <v>4</v>
      </c>
      <c r="N5" t="s">
        <v>137</v>
      </c>
      <c r="O5" t="s">
        <v>155</v>
      </c>
    </row>
    <row r="6" spans="1:15" x14ac:dyDescent="0.25">
      <c r="A6">
        <v>1</v>
      </c>
      <c r="B6">
        <v>4</v>
      </c>
      <c r="C6" s="25">
        <v>30</v>
      </c>
      <c r="D6" s="25">
        <v>0</v>
      </c>
      <c r="E6" s="25">
        <v>20</v>
      </c>
      <c r="F6" s="25">
        <f>qry_Player_Stats[[#This Row],[CashOut]]-(qry_Player_Stats[[#This Row],[BuyIn]]+qry_Player_Stats[[#This Row],[Rebuy]])</f>
        <v>-10</v>
      </c>
      <c r="G6" t="str">
        <f>VLOOKUP(qry_Player_Stats[[#This Row],[PlayerNo]],Players__2[[PlayerNo]:[FullName]],2,TRUE)</f>
        <v>Seamus Diver</v>
      </c>
      <c r="M6">
        <v>5</v>
      </c>
      <c r="N6" t="s">
        <v>37</v>
      </c>
      <c r="O6" t="s">
        <v>156</v>
      </c>
    </row>
    <row r="7" spans="1:15" x14ac:dyDescent="0.25">
      <c r="A7">
        <v>1</v>
      </c>
      <c r="B7">
        <v>1</v>
      </c>
      <c r="C7" s="25">
        <v>30</v>
      </c>
      <c r="D7" s="25">
        <v>20</v>
      </c>
      <c r="E7" s="25">
        <v>50</v>
      </c>
      <c r="F7" s="25">
        <f>qry_Player_Stats[[#This Row],[CashOut]]-(qry_Player_Stats[[#This Row],[BuyIn]]+qry_Player_Stats[[#This Row],[Rebuy]])</f>
        <v>0</v>
      </c>
      <c r="G7" t="str">
        <f>VLOOKUP(qry_Player_Stats[[#This Row],[PlayerNo]],Players__2[[PlayerNo]:[FullName]],2,TRUE)</f>
        <v>Martin Hunter</v>
      </c>
      <c r="M7">
        <v>6</v>
      </c>
      <c r="N7" t="s">
        <v>136</v>
      </c>
      <c r="O7" t="s">
        <v>157</v>
      </c>
    </row>
    <row r="8" spans="1:15" x14ac:dyDescent="0.25">
      <c r="A8">
        <v>2</v>
      </c>
      <c r="B8">
        <v>1</v>
      </c>
      <c r="C8" s="25">
        <v>30</v>
      </c>
      <c r="D8" s="25">
        <v>0</v>
      </c>
      <c r="E8" s="25">
        <v>25</v>
      </c>
      <c r="F8" s="25">
        <f>qry_Player_Stats[[#This Row],[CashOut]]-(qry_Player_Stats[[#This Row],[BuyIn]]+qry_Player_Stats[[#This Row],[Rebuy]])</f>
        <v>-5</v>
      </c>
      <c r="G8" t="str">
        <f>VLOOKUP(qry_Player_Stats[[#This Row],[PlayerNo]],Players__2[[PlayerNo]:[FullName]],2,TRUE)</f>
        <v>Martin Hunter</v>
      </c>
      <c r="M8">
        <v>7</v>
      </c>
      <c r="N8" t="s">
        <v>144</v>
      </c>
      <c r="O8" t="s">
        <v>158</v>
      </c>
    </row>
    <row r="9" spans="1:15" x14ac:dyDescent="0.25">
      <c r="A9">
        <v>2</v>
      </c>
      <c r="B9">
        <v>2</v>
      </c>
      <c r="C9" s="25">
        <v>30</v>
      </c>
      <c r="D9" s="25">
        <v>0</v>
      </c>
      <c r="E9" s="25">
        <v>55</v>
      </c>
      <c r="F9" s="25">
        <f>qry_Player_Stats[[#This Row],[CashOut]]-(qry_Player_Stats[[#This Row],[BuyIn]]+qry_Player_Stats[[#This Row],[Rebuy]])</f>
        <v>25</v>
      </c>
      <c r="G9" t="str">
        <f>VLOOKUP(qry_Player_Stats[[#This Row],[PlayerNo]],Players__2[[PlayerNo]:[FullName]],2,TRUE)</f>
        <v>Ciaran Lynch</v>
      </c>
      <c r="M9">
        <v>8</v>
      </c>
      <c r="N9" t="s">
        <v>138</v>
      </c>
      <c r="O9" t="s">
        <v>159</v>
      </c>
    </row>
    <row r="10" spans="1:15" x14ac:dyDescent="0.25">
      <c r="A10">
        <v>2</v>
      </c>
      <c r="B10">
        <v>3</v>
      </c>
      <c r="C10" s="25">
        <v>30</v>
      </c>
      <c r="D10" s="25">
        <v>20</v>
      </c>
      <c r="E10" s="25">
        <v>30</v>
      </c>
      <c r="F10" s="25">
        <f>qry_Player_Stats[[#This Row],[CashOut]]-(qry_Player_Stats[[#This Row],[BuyIn]]+qry_Player_Stats[[#This Row],[Rebuy]])</f>
        <v>-20</v>
      </c>
      <c r="G10" t="str">
        <f>VLOOKUP(qry_Player_Stats[[#This Row],[PlayerNo]],Players__2[[PlayerNo]:[FullName]],2,TRUE)</f>
        <v>Barry Hunter</v>
      </c>
      <c r="M10">
        <v>9</v>
      </c>
      <c r="N10" t="s">
        <v>160</v>
      </c>
      <c r="O10" t="s">
        <v>161</v>
      </c>
    </row>
    <row r="11" spans="1:15" x14ac:dyDescent="0.25">
      <c r="A11">
        <v>2</v>
      </c>
      <c r="B11">
        <v>4</v>
      </c>
      <c r="C11" s="25">
        <v>30</v>
      </c>
      <c r="D11" s="25">
        <v>20</v>
      </c>
      <c r="E11" s="25">
        <v>25</v>
      </c>
      <c r="F11" s="25">
        <f>qry_Player_Stats[[#This Row],[CashOut]]-(qry_Player_Stats[[#This Row],[BuyIn]]+qry_Player_Stats[[#This Row],[Rebuy]])</f>
        <v>-25</v>
      </c>
      <c r="G11" t="str">
        <f>VLOOKUP(qry_Player_Stats[[#This Row],[PlayerNo]],Players__2[[PlayerNo]:[FullName]],2,TRUE)</f>
        <v>Seamus Diver</v>
      </c>
      <c r="M11">
        <v>10</v>
      </c>
      <c r="N11" t="s">
        <v>36</v>
      </c>
      <c r="O11" t="s">
        <v>162</v>
      </c>
    </row>
    <row r="12" spans="1:15" x14ac:dyDescent="0.25">
      <c r="A12">
        <v>2</v>
      </c>
      <c r="B12">
        <v>5</v>
      </c>
      <c r="C12" s="25">
        <v>30</v>
      </c>
      <c r="D12" s="25">
        <v>20</v>
      </c>
      <c r="E12" s="25">
        <v>0</v>
      </c>
      <c r="F12" s="25">
        <f>qry_Player_Stats[[#This Row],[CashOut]]-(qry_Player_Stats[[#This Row],[BuyIn]]+qry_Player_Stats[[#This Row],[Rebuy]])</f>
        <v>-50</v>
      </c>
      <c r="G12" t="str">
        <f>VLOOKUP(qry_Player_Stats[[#This Row],[PlayerNo]],Players__2[[PlayerNo]:[FullName]],2,TRUE)</f>
        <v>Morgan Mooney</v>
      </c>
      <c r="M12">
        <v>11</v>
      </c>
      <c r="N12" t="s">
        <v>141</v>
      </c>
      <c r="O12" t="s">
        <v>163</v>
      </c>
    </row>
    <row r="13" spans="1:15" x14ac:dyDescent="0.25">
      <c r="A13">
        <v>2</v>
      </c>
      <c r="B13">
        <v>8</v>
      </c>
      <c r="C13" s="25">
        <v>30</v>
      </c>
      <c r="D13" s="25">
        <v>0</v>
      </c>
      <c r="E13" s="25">
        <v>60</v>
      </c>
      <c r="F13" s="25">
        <f>qry_Player_Stats[[#This Row],[CashOut]]-(qry_Player_Stats[[#This Row],[BuyIn]]+qry_Player_Stats[[#This Row],[Rebuy]])</f>
        <v>30</v>
      </c>
      <c r="G13" t="str">
        <f>VLOOKUP(qry_Player_Stats[[#This Row],[PlayerNo]],Players__2[[PlayerNo]:[FullName]],2,TRUE)</f>
        <v>Steven Black</v>
      </c>
      <c r="M13">
        <v>12</v>
      </c>
      <c r="N13" t="s">
        <v>170</v>
      </c>
      <c r="O13" t="s">
        <v>163</v>
      </c>
    </row>
    <row r="14" spans="1:15" x14ac:dyDescent="0.25">
      <c r="A14">
        <v>2</v>
      </c>
      <c r="B14">
        <v>6</v>
      </c>
      <c r="C14" s="25">
        <v>30</v>
      </c>
      <c r="D14" s="25">
        <v>20</v>
      </c>
      <c r="E14" s="25">
        <v>130</v>
      </c>
      <c r="F14" s="25">
        <f>qry_Player_Stats[[#This Row],[CashOut]]-(qry_Player_Stats[[#This Row],[BuyIn]]+qry_Player_Stats[[#This Row],[Rebuy]])</f>
        <v>80</v>
      </c>
      <c r="G14" t="str">
        <f>VLOOKUP(qry_Player_Stats[[#This Row],[PlayerNo]],Players__2[[PlayerNo]:[FullName]],2,TRUE)</f>
        <v>Kevin Lee</v>
      </c>
    </row>
    <row r="15" spans="1:15" x14ac:dyDescent="0.25">
      <c r="A15">
        <v>2</v>
      </c>
      <c r="B15">
        <v>11</v>
      </c>
      <c r="C15" s="25">
        <v>30</v>
      </c>
      <c r="D15" s="25">
        <v>0</v>
      </c>
      <c r="E15" s="25">
        <v>0</v>
      </c>
      <c r="F15" s="25">
        <f>qry_Player_Stats[[#This Row],[CashOut]]-(qry_Player_Stats[[#This Row],[BuyIn]]+qry_Player_Stats[[#This Row],[Rebuy]])</f>
        <v>-30</v>
      </c>
      <c r="G15" t="str">
        <f>VLOOKUP(qry_Player_Stats[[#This Row],[PlayerNo]],Players__2[[PlayerNo]:[FullName]],2,TRUE)</f>
        <v>Mark Hunter</v>
      </c>
    </row>
    <row r="16" spans="1:15" x14ac:dyDescent="0.25">
      <c r="A16">
        <v>3</v>
      </c>
      <c r="B16">
        <v>1</v>
      </c>
      <c r="C16" s="25">
        <v>30</v>
      </c>
      <c r="D16" s="25">
        <v>0</v>
      </c>
      <c r="E16" s="25">
        <v>110</v>
      </c>
      <c r="F16" s="25">
        <f>qry_Player_Stats[[#This Row],[CashOut]]-(qry_Player_Stats[[#This Row],[BuyIn]]+qry_Player_Stats[[#This Row],[Rebuy]])</f>
        <v>80</v>
      </c>
      <c r="G16" t="str">
        <f>VLOOKUP(qry_Player_Stats[[#This Row],[PlayerNo]],Players__2[[PlayerNo]:[FullName]],2,TRUE)</f>
        <v>Martin Hunter</v>
      </c>
    </row>
    <row r="17" spans="1:7" x14ac:dyDescent="0.25">
      <c r="A17">
        <v>3</v>
      </c>
      <c r="B17">
        <v>3</v>
      </c>
      <c r="C17" s="25">
        <v>30</v>
      </c>
      <c r="D17" s="25">
        <v>0</v>
      </c>
      <c r="E17" s="25">
        <v>65</v>
      </c>
      <c r="F17" s="25">
        <f>qry_Player_Stats[[#This Row],[CashOut]]-(qry_Player_Stats[[#This Row],[BuyIn]]+qry_Player_Stats[[#This Row],[Rebuy]])</f>
        <v>35</v>
      </c>
      <c r="G17" t="str">
        <f>VLOOKUP(qry_Player_Stats[[#This Row],[PlayerNo]],Players__2[[PlayerNo]:[FullName]],2,TRUE)</f>
        <v>Barry Hunter</v>
      </c>
    </row>
    <row r="18" spans="1:7" x14ac:dyDescent="0.25">
      <c r="A18">
        <v>3</v>
      </c>
      <c r="B18">
        <v>6</v>
      </c>
      <c r="C18" s="25">
        <v>30</v>
      </c>
      <c r="D18" s="25">
        <v>0</v>
      </c>
      <c r="E18" s="25">
        <v>0</v>
      </c>
      <c r="F18" s="25">
        <f>qry_Player_Stats[[#This Row],[CashOut]]-(qry_Player_Stats[[#This Row],[BuyIn]]+qry_Player_Stats[[#This Row],[Rebuy]])</f>
        <v>-30</v>
      </c>
      <c r="G18" t="str">
        <f>VLOOKUP(qry_Player_Stats[[#This Row],[PlayerNo]],Players__2[[PlayerNo]:[FullName]],2,TRUE)</f>
        <v>Kevin Lee</v>
      </c>
    </row>
    <row r="19" spans="1:7" x14ac:dyDescent="0.25">
      <c r="A19">
        <v>3</v>
      </c>
      <c r="B19">
        <v>11</v>
      </c>
      <c r="C19" s="25">
        <v>30</v>
      </c>
      <c r="D19" s="25">
        <v>0</v>
      </c>
      <c r="E19" s="25">
        <v>0</v>
      </c>
      <c r="F19" s="25">
        <f>qry_Player_Stats[[#This Row],[CashOut]]-(qry_Player_Stats[[#This Row],[BuyIn]]+qry_Player_Stats[[#This Row],[Rebuy]])</f>
        <v>-30</v>
      </c>
      <c r="G19" t="str">
        <f>VLOOKUP(qry_Player_Stats[[#This Row],[PlayerNo]],Players__2[[PlayerNo]:[FullName]],2,TRUE)</f>
        <v>Mark Hunter</v>
      </c>
    </row>
    <row r="20" spans="1:7" x14ac:dyDescent="0.25">
      <c r="A20">
        <v>3</v>
      </c>
      <c r="B20">
        <v>5</v>
      </c>
      <c r="C20" s="25">
        <v>30</v>
      </c>
      <c r="D20" s="25">
        <v>20</v>
      </c>
      <c r="E20" s="25">
        <v>0</v>
      </c>
      <c r="F20" s="25">
        <f>qry_Player_Stats[[#This Row],[CashOut]]-(qry_Player_Stats[[#This Row],[BuyIn]]+qry_Player_Stats[[#This Row],[Rebuy]])</f>
        <v>-50</v>
      </c>
      <c r="G20" t="str">
        <f>VLOOKUP(qry_Player_Stats[[#This Row],[PlayerNo]],Players__2[[PlayerNo]:[FullName]],2,TRUE)</f>
        <v>Morgan Mooney</v>
      </c>
    </row>
    <row r="21" spans="1:7" x14ac:dyDescent="0.25">
      <c r="A21">
        <v>3</v>
      </c>
      <c r="B21">
        <v>4</v>
      </c>
      <c r="C21" s="25">
        <v>30</v>
      </c>
      <c r="D21" s="25">
        <v>20</v>
      </c>
      <c r="E21" s="25">
        <v>0</v>
      </c>
      <c r="F21" s="25">
        <f>qry_Player_Stats[[#This Row],[CashOut]]-(qry_Player_Stats[[#This Row],[BuyIn]]+qry_Player_Stats[[#This Row],[Rebuy]])</f>
        <v>-50</v>
      </c>
      <c r="G21" t="str">
        <f>VLOOKUP(qry_Player_Stats[[#This Row],[PlayerNo]],Players__2[[PlayerNo]:[FullName]],2,TRUE)</f>
        <v>Seamus Diver</v>
      </c>
    </row>
    <row r="22" spans="1:7" x14ac:dyDescent="0.25">
      <c r="A22">
        <v>3</v>
      </c>
      <c r="B22">
        <v>8</v>
      </c>
      <c r="C22" s="25">
        <v>30</v>
      </c>
      <c r="D22" s="25">
        <v>30</v>
      </c>
      <c r="E22" s="25">
        <v>0</v>
      </c>
      <c r="F22" s="25">
        <f>qry_Player_Stats[[#This Row],[CashOut]]-(qry_Player_Stats[[#This Row],[BuyIn]]+qry_Player_Stats[[#This Row],[Rebuy]])</f>
        <v>-60</v>
      </c>
      <c r="G22" t="str">
        <f>VLOOKUP(qry_Player_Stats[[#This Row],[PlayerNo]],Players__2[[PlayerNo]:[FullName]],2,TRUE)</f>
        <v>Steven Black</v>
      </c>
    </row>
    <row r="23" spans="1:7" x14ac:dyDescent="0.25">
      <c r="A23">
        <v>3</v>
      </c>
      <c r="B23">
        <v>7</v>
      </c>
      <c r="C23" s="25">
        <v>30</v>
      </c>
      <c r="D23" s="25">
        <v>0</v>
      </c>
      <c r="E23" s="25">
        <v>75</v>
      </c>
      <c r="F23" s="25">
        <f>qry_Player_Stats[[#This Row],[CashOut]]-(qry_Player_Stats[[#This Row],[BuyIn]]+qry_Player_Stats[[#This Row],[Rebuy]])</f>
        <v>45</v>
      </c>
      <c r="G23" t="str">
        <f>VLOOKUP(qry_Player_Stats[[#This Row],[PlayerNo]],Players__2[[PlayerNo]:[FullName]],2,TRUE)</f>
        <v>Brendan Stevenson</v>
      </c>
    </row>
    <row r="24" spans="1:7" x14ac:dyDescent="0.25">
      <c r="A24">
        <v>4</v>
      </c>
      <c r="B24">
        <v>7</v>
      </c>
      <c r="C24" s="25">
        <v>30</v>
      </c>
      <c r="D24" s="25">
        <v>20</v>
      </c>
      <c r="E24" s="25">
        <v>65</v>
      </c>
      <c r="F24" s="25">
        <f>qry_Player_Stats[[#This Row],[CashOut]]-(qry_Player_Stats[[#This Row],[BuyIn]]+qry_Player_Stats[[#This Row],[Rebuy]])</f>
        <v>15</v>
      </c>
      <c r="G24" t="str">
        <f>VLOOKUP(qry_Player_Stats[[#This Row],[PlayerNo]],Players__2[[PlayerNo]:[FullName]],2,TRUE)</f>
        <v>Brendan Stevenson</v>
      </c>
    </row>
    <row r="25" spans="1:7" x14ac:dyDescent="0.25">
      <c r="A25">
        <v>4</v>
      </c>
      <c r="B25">
        <v>3</v>
      </c>
      <c r="C25" s="25">
        <v>30</v>
      </c>
      <c r="D25" s="25">
        <v>0</v>
      </c>
      <c r="E25" s="25">
        <v>45</v>
      </c>
      <c r="F25" s="25">
        <f>qry_Player_Stats[[#This Row],[CashOut]]-(qry_Player_Stats[[#This Row],[BuyIn]]+qry_Player_Stats[[#This Row],[Rebuy]])</f>
        <v>15</v>
      </c>
      <c r="G25" t="str">
        <f>VLOOKUP(qry_Player_Stats[[#This Row],[PlayerNo]],Players__2[[PlayerNo]:[FullName]],2,TRUE)</f>
        <v>Barry Hunter</v>
      </c>
    </row>
    <row r="26" spans="1:7" x14ac:dyDescent="0.25">
      <c r="A26">
        <v>4</v>
      </c>
      <c r="B26">
        <v>6</v>
      </c>
      <c r="C26" s="25">
        <v>30</v>
      </c>
      <c r="D26" s="25">
        <v>0</v>
      </c>
      <c r="E26" s="25">
        <v>100</v>
      </c>
      <c r="F26" s="25">
        <f>qry_Player_Stats[[#This Row],[CashOut]]-(qry_Player_Stats[[#This Row],[BuyIn]]+qry_Player_Stats[[#This Row],[Rebuy]])</f>
        <v>70</v>
      </c>
      <c r="G26" t="str">
        <f>VLOOKUP(qry_Player_Stats[[#This Row],[PlayerNo]],Players__2[[PlayerNo]:[FullName]],2,TRUE)</f>
        <v>Kevin Lee</v>
      </c>
    </row>
    <row r="27" spans="1:7" x14ac:dyDescent="0.25">
      <c r="A27">
        <v>4</v>
      </c>
      <c r="B27">
        <v>11</v>
      </c>
      <c r="C27" s="25">
        <v>30</v>
      </c>
      <c r="D27" s="25">
        <v>0</v>
      </c>
      <c r="E27" s="25">
        <v>45</v>
      </c>
      <c r="F27" s="25">
        <f>qry_Player_Stats[[#This Row],[CashOut]]-(qry_Player_Stats[[#This Row],[BuyIn]]+qry_Player_Stats[[#This Row],[Rebuy]])</f>
        <v>15</v>
      </c>
      <c r="G27" t="str">
        <f>VLOOKUP(qry_Player_Stats[[#This Row],[PlayerNo]],Players__2[[PlayerNo]:[FullName]],2,TRUE)</f>
        <v>Mark Hunter</v>
      </c>
    </row>
    <row r="28" spans="1:7" x14ac:dyDescent="0.25">
      <c r="A28">
        <v>4</v>
      </c>
      <c r="B28">
        <v>1</v>
      </c>
      <c r="C28" s="25">
        <v>30</v>
      </c>
      <c r="D28" s="25">
        <v>0</v>
      </c>
      <c r="E28" s="25">
        <v>40</v>
      </c>
      <c r="F28" s="25">
        <f>qry_Player_Stats[[#This Row],[CashOut]]-(qry_Player_Stats[[#This Row],[BuyIn]]+qry_Player_Stats[[#This Row],[Rebuy]])</f>
        <v>10</v>
      </c>
      <c r="G28" t="str">
        <f>VLOOKUP(qry_Player_Stats[[#This Row],[PlayerNo]],Players__2[[PlayerNo]:[FullName]],2,TRUE)</f>
        <v>Martin Hunter</v>
      </c>
    </row>
    <row r="29" spans="1:7" x14ac:dyDescent="0.25">
      <c r="A29">
        <v>4</v>
      </c>
      <c r="B29">
        <v>5</v>
      </c>
      <c r="C29" s="25">
        <v>30</v>
      </c>
      <c r="D29" s="25">
        <v>40</v>
      </c>
      <c r="E29" s="25">
        <v>15</v>
      </c>
      <c r="F29" s="25">
        <f>qry_Player_Stats[[#This Row],[CashOut]]-(qry_Player_Stats[[#This Row],[BuyIn]]+qry_Player_Stats[[#This Row],[Rebuy]])</f>
        <v>-55</v>
      </c>
      <c r="G29" t="str">
        <f>VLOOKUP(qry_Player_Stats[[#This Row],[PlayerNo]],Players__2[[PlayerNo]:[FullName]],2,TRUE)</f>
        <v>Morgan Mooney</v>
      </c>
    </row>
    <row r="30" spans="1:7" x14ac:dyDescent="0.25">
      <c r="A30">
        <v>4</v>
      </c>
      <c r="B30">
        <v>8</v>
      </c>
      <c r="C30" s="25">
        <v>30</v>
      </c>
      <c r="D30" s="25">
        <v>40</v>
      </c>
      <c r="E30" s="25">
        <v>0</v>
      </c>
      <c r="F30" s="25">
        <f>qry_Player_Stats[[#This Row],[CashOut]]-(qry_Player_Stats[[#This Row],[BuyIn]]+qry_Player_Stats[[#This Row],[Rebuy]])</f>
        <v>-70</v>
      </c>
      <c r="G30" t="str">
        <f>VLOOKUP(qry_Player_Stats[[#This Row],[PlayerNo]],Players__2[[PlayerNo]:[FullName]],2,TRUE)</f>
        <v>Steven Black</v>
      </c>
    </row>
    <row r="31" spans="1:7" x14ac:dyDescent="0.25">
      <c r="A31">
        <v>5</v>
      </c>
      <c r="B31">
        <v>1</v>
      </c>
      <c r="C31" s="25">
        <v>30</v>
      </c>
      <c r="D31" s="25">
        <v>0</v>
      </c>
      <c r="E31" s="25">
        <v>60</v>
      </c>
      <c r="F31" s="25">
        <f>qry_Player_Stats[[#This Row],[CashOut]]-(qry_Player_Stats[[#This Row],[BuyIn]]+qry_Player_Stats[[#This Row],[Rebuy]])</f>
        <v>30</v>
      </c>
      <c r="G31" t="str">
        <f>VLOOKUP(qry_Player_Stats[[#This Row],[PlayerNo]],Players__2[[PlayerNo]:[FullName]],2,TRUE)</f>
        <v>Martin Hunter</v>
      </c>
    </row>
    <row r="32" spans="1:7" x14ac:dyDescent="0.25">
      <c r="A32">
        <v>5</v>
      </c>
      <c r="B32">
        <v>3</v>
      </c>
      <c r="C32" s="25">
        <v>30</v>
      </c>
      <c r="D32" s="25">
        <v>0</v>
      </c>
      <c r="E32" s="25">
        <v>0</v>
      </c>
      <c r="F32" s="25">
        <f>qry_Player_Stats[[#This Row],[CashOut]]-(qry_Player_Stats[[#This Row],[BuyIn]]+qry_Player_Stats[[#This Row],[Rebuy]])</f>
        <v>-30</v>
      </c>
      <c r="G32" t="str">
        <f>VLOOKUP(qry_Player_Stats[[#This Row],[PlayerNo]],Players__2[[PlayerNo]:[FullName]],2,TRUE)</f>
        <v>Barry Hunter</v>
      </c>
    </row>
    <row r="33" spans="1:7" x14ac:dyDescent="0.25">
      <c r="A33">
        <v>5</v>
      </c>
      <c r="B33">
        <v>7</v>
      </c>
      <c r="C33" s="25">
        <v>30</v>
      </c>
      <c r="D33" s="25">
        <v>20</v>
      </c>
      <c r="E33" s="25">
        <v>30</v>
      </c>
      <c r="F33" s="25">
        <f>qry_Player_Stats[[#This Row],[CashOut]]-(qry_Player_Stats[[#This Row],[BuyIn]]+qry_Player_Stats[[#This Row],[Rebuy]])</f>
        <v>-20</v>
      </c>
      <c r="G33" t="str">
        <f>VLOOKUP(qry_Player_Stats[[#This Row],[PlayerNo]],Players__2[[PlayerNo]:[FullName]],2,TRUE)</f>
        <v>Brendan Stevenson</v>
      </c>
    </row>
    <row r="34" spans="1:7" x14ac:dyDescent="0.25">
      <c r="A34">
        <v>5</v>
      </c>
      <c r="B34">
        <v>6</v>
      </c>
      <c r="C34" s="25">
        <v>30</v>
      </c>
      <c r="D34" s="25">
        <v>40</v>
      </c>
      <c r="E34" s="25">
        <v>0</v>
      </c>
      <c r="F34" s="25">
        <f>qry_Player_Stats[[#This Row],[CashOut]]-(qry_Player_Stats[[#This Row],[BuyIn]]+qry_Player_Stats[[#This Row],[Rebuy]])</f>
        <v>-70</v>
      </c>
      <c r="G34" t="str">
        <f>VLOOKUP(qry_Player_Stats[[#This Row],[PlayerNo]],Players__2[[PlayerNo]:[FullName]],2,TRUE)</f>
        <v>Kevin Lee</v>
      </c>
    </row>
    <row r="35" spans="1:7" x14ac:dyDescent="0.25">
      <c r="A35">
        <v>5</v>
      </c>
      <c r="B35">
        <v>11</v>
      </c>
      <c r="C35" s="25">
        <v>30</v>
      </c>
      <c r="D35" s="25">
        <v>0</v>
      </c>
      <c r="E35" s="25">
        <v>50</v>
      </c>
      <c r="F35" s="25">
        <f>qry_Player_Stats[[#This Row],[CashOut]]-(qry_Player_Stats[[#This Row],[BuyIn]]+qry_Player_Stats[[#This Row],[Rebuy]])</f>
        <v>20</v>
      </c>
      <c r="G35" t="str">
        <f>VLOOKUP(qry_Player_Stats[[#This Row],[PlayerNo]],Players__2[[PlayerNo]:[FullName]],2,TRUE)</f>
        <v>Mark Hunter</v>
      </c>
    </row>
    <row r="36" spans="1:7" x14ac:dyDescent="0.25">
      <c r="A36">
        <v>5</v>
      </c>
      <c r="B36">
        <v>5</v>
      </c>
      <c r="C36" s="25">
        <v>30</v>
      </c>
      <c r="D36" s="25">
        <v>20</v>
      </c>
      <c r="E36" s="25">
        <v>120</v>
      </c>
      <c r="F36" s="25">
        <f>qry_Player_Stats[[#This Row],[CashOut]]-(qry_Player_Stats[[#This Row],[BuyIn]]+qry_Player_Stats[[#This Row],[Rebuy]])</f>
        <v>70</v>
      </c>
      <c r="G36" t="str">
        <f>VLOOKUP(qry_Player_Stats[[#This Row],[PlayerNo]],Players__2[[PlayerNo]:[FullName]],2,TRUE)</f>
        <v>Morgan Mooney</v>
      </c>
    </row>
    <row r="37" spans="1:7" x14ac:dyDescent="0.25">
      <c r="A37">
        <v>5</v>
      </c>
      <c r="B37">
        <v>8</v>
      </c>
      <c r="C37" s="25">
        <v>30</v>
      </c>
      <c r="D37" s="25">
        <v>0</v>
      </c>
      <c r="E37" s="25">
        <v>30</v>
      </c>
      <c r="F37" s="25">
        <f>qry_Player_Stats[[#This Row],[CashOut]]-(qry_Player_Stats[[#This Row],[BuyIn]]+qry_Player_Stats[[#This Row],[Rebuy]])</f>
        <v>0</v>
      </c>
      <c r="G37" t="str">
        <f>VLOOKUP(qry_Player_Stats[[#This Row],[PlayerNo]],Players__2[[PlayerNo]:[FullName]],2,TRUE)</f>
        <v>Steven Black</v>
      </c>
    </row>
    <row r="38" spans="1:7" x14ac:dyDescent="0.25">
      <c r="A38">
        <v>6</v>
      </c>
      <c r="B38">
        <v>3</v>
      </c>
      <c r="C38" s="25">
        <v>30</v>
      </c>
      <c r="D38" s="25">
        <v>40</v>
      </c>
      <c r="E38" s="25">
        <v>35</v>
      </c>
      <c r="F38" s="25">
        <f>qry_Player_Stats[[#This Row],[CashOut]]-(qry_Player_Stats[[#This Row],[BuyIn]]+qry_Player_Stats[[#This Row],[Rebuy]])</f>
        <v>-35</v>
      </c>
      <c r="G38" t="str">
        <f>VLOOKUP(qry_Player_Stats[[#This Row],[PlayerNo]],Players__2[[PlayerNo]:[FullName]],2,TRUE)</f>
        <v>Barry Hunter</v>
      </c>
    </row>
    <row r="39" spans="1:7" x14ac:dyDescent="0.25">
      <c r="A39">
        <v>6</v>
      </c>
      <c r="B39">
        <v>7</v>
      </c>
      <c r="C39" s="25">
        <v>30</v>
      </c>
      <c r="D39" s="25">
        <v>20</v>
      </c>
      <c r="E39" s="25">
        <v>0</v>
      </c>
      <c r="F39" s="25">
        <f>qry_Player_Stats[[#This Row],[CashOut]]-(qry_Player_Stats[[#This Row],[BuyIn]]+qry_Player_Stats[[#This Row],[Rebuy]])</f>
        <v>-50</v>
      </c>
      <c r="G39" t="str">
        <f>VLOOKUP(qry_Player_Stats[[#This Row],[PlayerNo]],Players__2[[PlayerNo]:[FullName]],2,TRUE)</f>
        <v>Brendan Stevenson</v>
      </c>
    </row>
    <row r="40" spans="1:7" x14ac:dyDescent="0.25">
      <c r="A40">
        <v>6</v>
      </c>
      <c r="B40">
        <v>6</v>
      </c>
      <c r="C40" s="25">
        <v>30</v>
      </c>
      <c r="D40" s="25">
        <v>0</v>
      </c>
      <c r="E40" s="25">
        <v>85</v>
      </c>
      <c r="F40" s="25">
        <f>qry_Player_Stats[[#This Row],[CashOut]]-(qry_Player_Stats[[#This Row],[BuyIn]]+qry_Player_Stats[[#This Row],[Rebuy]])</f>
        <v>55</v>
      </c>
      <c r="G40" t="str">
        <f>VLOOKUP(qry_Player_Stats[[#This Row],[PlayerNo]],Players__2[[PlayerNo]:[FullName]],2,TRUE)</f>
        <v>Kevin Lee</v>
      </c>
    </row>
    <row r="41" spans="1:7" x14ac:dyDescent="0.25">
      <c r="A41">
        <v>6</v>
      </c>
      <c r="B41">
        <v>11</v>
      </c>
      <c r="C41" s="25">
        <v>30</v>
      </c>
      <c r="D41" s="25">
        <v>0</v>
      </c>
      <c r="E41" s="25">
        <v>10</v>
      </c>
      <c r="F41" s="25">
        <f>qry_Player_Stats[[#This Row],[CashOut]]-(qry_Player_Stats[[#This Row],[BuyIn]]+qry_Player_Stats[[#This Row],[Rebuy]])</f>
        <v>-20</v>
      </c>
      <c r="G41" t="str">
        <f>VLOOKUP(qry_Player_Stats[[#This Row],[PlayerNo]],Players__2[[PlayerNo]:[FullName]],2,TRUE)</f>
        <v>Mark Hunter</v>
      </c>
    </row>
    <row r="42" spans="1:7" x14ac:dyDescent="0.25">
      <c r="A42">
        <v>6</v>
      </c>
      <c r="B42">
        <v>1</v>
      </c>
      <c r="C42" s="25">
        <v>30</v>
      </c>
      <c r="D42" s="25">
        <v>0</v>
      </c>
      <c r="E42" s="25">
        <v>25</v>
      </c>
      <c r="F42" s="25">
        <f>qry_Player_Stats[[#This Row],[CashOut]]-(qry_Player_Stats[[#This Row],[BuyIn]]+qry_Player_Stats[[#This Row],[Rebuy]])</f>
        <v>-5</v>
      </c>
      <c r="G42" t="str">
        <f>VLOOKUP(qry_Player_Stats[[#This Row],[PlayerNo]],Players__2[[PlayerNo]:[FullName]],2,TRUE)</f>
        <v>Martin Hunter</v>
      </c>
    </row>
    <row r="43" spans="1:7" x14ac:dyDescent="0.25">
      <c r="A43">
        <v>6</v>
      </c>
      <c r="B43">
        <v>5</v>
      </c>
      <c r="C43" s="25">
        <v>30</v>
      </c>
      <c r="D43" s="25">
        <v>20</v>
      </c>
      <c r="E43" s="25">
        <v>30</v>
      </c>
      <c r="F43" s="25">
        <f>qry_Player_Stats[[#This Row],[CashOut]]-(qry_Player_Stats[[#This Row],[BuyIn]]+qry_Player_Stats[[#This Row],[Rebuy]])</f>
        <v>-20</v>
      </c>
      <c r="G43" t="str">
        <f>VLOOKUP(qry_Player_Stats[[#This Row],[PlayerNo]],Players__2[[PlayerNo]:[FullName]],2,TRUE)</f>
        <v>Morgan Mooney</v>
      </c>
    </row>
    <row r="44" spans="1:7" x14ac:dyDescent="0.25">
      <c r="A44">
        <v>6</v>
      </c>
      <c r="B44">
        <v>4</v>
      </c>
      <c r="C44" s="25">
        <v>30</v>
      </c>
      <c r="D44" s="25">
        <v>0</v>
      </c>
      <c r="E44" s="25">
        <v>105</v>
      </c>
      <c r="F44" s="25">
        <f>qry_Player_Stats[[#This Row],[CashOut]]-(qry_Player_Stats[[#This Row],[BuyIn]]+qry_Player_Stats[[#This Row],[Rebuy]])</f>
        <v>75</v>
      </c>
      <c r="G44" t="str">
        <f>VLOOKUP(qry_Player_Stats[[#This Row],[PlayerNo]],Players__2[[PlayerNo]:[FullName]],2,TRUE)</f>
        <v>Seamus Diver</v>
      </c>
    </row>
    <row r="45" spans="1:7" x14ac:dyDescent="0.25">
      <c r="A45">
        <v>7</v>
      </c>
      <c r="B45">
        <v>12</v>
      </c>
      <c r="C45" s="25">
        <v>30</v>
      </c>
      <c r="D45" s="25">
        <v>0</v>
      </c>
      <c r="E45" s="25">
        <v>0</v>
      </c>
      <c r="F45" s="25">
        <f>qry_Player_Stats[[#This Row],[CashOut]]-(qry_Player_Stats[[#This Row],[BuyIn]]+qry_Player_Stats[[#This Row],[Rebuy]])</f>
        <v>-30</v>
      </c>
      <c r="G45" t="str">
        <f>VLOOKUP(qry_Player_Stats[[#This Row],[PlayerNo]],Players__2[[PlayerNo]:[FullName]],2,TRUE)</f>
        <v>Ryan **</v>
      </c>
    </row>
    <row r="46" spans="1:7" x14ac:dyDescent="0.25">
      <c r="A46">
        <v>7</v>
      </c>
      <c r="B46">
        <v>3</v>
      </c>
      <c r="C46" s="25">
        <v>30</v>
      </c>
      <c r="D46" s="25">
        <v>0</v>
      </c>
      <c r="E46" s="25">
        <v>0</v>
      </c>
      <c r="F46" s="25">
        <f>qry_Player_Stats[[#This Row],[CashOut]]-(qry_Player_Stats[[#This Row],[BuyIn]]+qry_Player_Stats[[#This Row],[Rebuy]])</f>
        <v>-30</v>
      </c>
      <c r="G46" t="str">
        <f>VLOOKUP(qry_Player_Stats[[#This Row],[PlayerNo]],Players__2[[PlayerNo]:[FullName]],2,TRUE)</f>
        <v>Barry Hunter</v>
      </c>
    </row>
    <row r="47" spans="1:7" x14ac:dyDescent="0.25">
      <c r="A47">
        <v>7</v>
      </c>
      <c r="B47">
        <v>7</v>
      </c>
      <c r="C47" s="25">
        <v>30</v>
      </c>
      <c r="D47" s="25">
        <v>0</v>
      </c>
      <c r="E47" s="25">
        <v>65</v>
      </c>
      <c r="F47" s="25">
        <f>qry_Player_Stats[[#This Row],[CashOut]]-(qry_Player_Stats[[#This Row],[BuyIn]]+qry_Player_Stats[[#This Row],[Rebuy]])</f>
        <v>35</v>
      </c>
      <c r="G47" t="str">
        <f>VLOOKUP(qry_Player_Stats[[#This Row],[PlayerNo]],Players__2[[PlayerNo]:[FullName]],2,TRUE)</f>
        <v>Brendan Stevenson</v>
      </c>
    </row>
    <row r="48" spans="1:7" x14ac:dyDescent="0.25">
      <c r="A48">
        <v>7</v>
      </c>
      <c r="B48">
        <v>6</v>
      </c>
      <c r="C48" s="25">
        <v>30</v>
      </c>
      <c r="D48" s="25">
        <v>40</v>
      </c>
      <c r="E48" s="25">
        <v>70</v>
      </c>
      <c r="F48" s="25">
        <f>qry_Player_Stats[[#This Row],[CashOut]]-(qry_Player_Stats[[#This Row],[BuyIn]]+qry_Player_Stats[[#This Row],[Rebuy]])</f>
        <v>0</v>
      </c>
      <c r="G48" t="str">
        <f>VLOOKUP(qry_Player_Stats[[#This Row],[PlayerNo]],Players__2[[PlayerNo]:[FullName]],2,TRUE)</f>
        <v>Kevin Lee</v>
      </c>
    </row>
    <row r="49" spans="1:7" x14ac:dyDescent="0.25">
      <c r="A49">
        <v>7</v>
      </c>
      <c r="B49">
        <v>1</v>
      </c>
      <c r="C49" s="25">
        <v>30</v>
      </c>
      <c r="D49" s="25">
        <v>0</v>
      </c>
      <c r="E49" s="25">
        <v>45</v>
      </c>
      <c r="F49" s="25">
        <f>qry_Player_Stats[[#This Row],[CashOut]]-(qry_Player_Stats[[#This Row],[BuyIn]]+qry_Player_Stats[[#This Row],[Rebuy]])</f>
        <v>15</v>
      </c>
      <c r="G49" t="str">
        <f>VLOOKUP(qry_Player_Stats[[#This Row],[PlayerNo]],Players__2[[PlayerNo]:[FullName]],2,TRUE)</f>
        <v>Martin Hunter</v>
      </c>
    </row>
    <row r="50" spans="1:7" x14ac:dyDescent="0.25">
      <c r="A50">
        <v>7</v>
      </c>
      <c r="B50">
        <v>5</v>
      </c>
      <c r="C50" s="25">
        <v>30</v>
      </c>
      <c r="D50" s="25">
        <v>0</v>
      </c>
      <c r="E50" s="25">
        <v>40</v>
      </c>
      <c r="F50" s="25">
        <f>qry_Player_Stats[[#This Row],[CashOut]]-(qry_Player_Stats[[#This Row],[BuyIn]]+qry_Player_Stats[[#This Row],[Rebuy]])</f>
        <v>10</v>
      </c>
      <c r="G50" t="str">
        <f>VLOOKUP(qry_Player_Stats[[#This Row],[PlayerNo]],Players__2[[PlayerNo]:[FullName]],2,TRUE)</f>
        <v>Morgan Mooney</v>
      </c>
    </row>
    <row r="51" spans="1:7" x14ac:dyDescent="0.25">
      <c r="A51" t="s">
        <v>9</v>
      </c>
      <c r="C51" s="25">
        <f>SUBTOTAL(109,qry_Player_Stats[BuyIn])</f>
        <v>1470</v>
      </c>
      <c r="D51" s="25">
        <f>SUBTOTAL(109,qry_Player_Stats[Rebuy])</f>
        <v>510</v>
      </c>
      <c r="E51" s="25">
        <f>SUBTOTAL(109,qry_Player_Stats[CashOut])</f>
        <v>1925</v>
      </c>
      <c r="F51" s="25">
        <f>SUBTOTAL(109,qry_Player_Stats[ROI])</f>
        <v>-55</v>
      </c>
    </row>
  </sheetData>
  <pageMargins left="0.7" right="0.7" top="0.75" bottom="0.75" header="0.3" footer="0.3"/>
  <tableParts count="2">
    <tablePart r:id="rId1"/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0BB659-5723-4F09-A264-E167CD0F42D0}">
  <dimension ref="A1:J8"/>
  <sheetViews>
    <sheetView workbookViewId="0">
      <selection activeCell="D25" sqref="D25"/>
    </sheetView>
  </sheetViews>
  <sheetFormatPr defaultRowHeight="15" x14ac:dyDescent="0.25"/>
  <cols>
    <col min="1" max="1" width="5.140625" bestFit="1" customWidth="1"/>
    <col min="2" max="2" width="13.7109375" bestFit="1" customWidth="1"/>
    <col min="3" max="3" width="7.28515625" bestFit="1" customWidth="1"/>
    <col min="4" max="4" width="14.28515625" bestFit="1" customWidth="1"/>
    <col min="5" max="5" width="19" bestFit="1" customWidth="1"/>
    <col min="6" max="6" width="15.7109375" bestFit="1" customWidth="1"/>
    <col min="9" max="9" width="15.5703125" bestFit="1" customWidth="1"/>
    <col min="10" max="10" width="13.140625" bestFit="1" customWidth="1"/>
    <col min="11" max="11" width="13.7109375" bestFit="1" customWidth="1"/>
    <col min="12" max="12" width="15.85546875" bestFit="1" customWidth="1"/>
    <col min="13" max="13" width="13.140625" bestFit="1" customWidth="1"/>
    <col min="14" max="14" width="11.28515625" bestFit="1" customWidth="1"/>
  </cols>
  <sheetData>
    <row r="1" spans="1:10" x14ac:dyDescent="0.25">
      <c r="A1" t="s">
        <v>171</v>
      </c>
      <c r="B1" t="s">
        <v>166</v>
      </c>
      <c r="C1" t="s">
        <v>167</v>
      </c>
      <c r="D1" t="s">
        <v>168</v>
      </c>
      <c r="E1" t="s">
        <v>169</v>
      </c>
    </row>
    <row r="2" spans="1:10" x14ac:dyDescent="0.25">
      <c r="A2">
        <v>1</v>
      </c>
      <c r="B2" s="26">
        <v>45681</v>
      </c>
      <c r="C2">
        <v>6</v>
      </c>
      <c r="D2">
        <v>1</v>
      </c>
      <c r="E2" t="s">
        <v>136</v>
      </c>
    </row>
    <row r="3" spans="1:10" x14ac:dyDescent="0.25">
      <c r="A3">
        <v>2</v>
      </c>
      <c r="B3" s="26">
        <v>45709</v>
      </c>
      <c r="C3">
        <v>1</v>
      </c>
      <c r="D3">
        <v>1</v>
      </c>
      <c r="E3" t="s">
        <v>34</v>
      </c>
      <c r="I3" s="94" t="s">
        <v>135</v>
      </c>
      <c r="J3" t="s">
        <v>165</v>
      </c>
    </row>
    <row r="4" spans="1:10" x14ac:dyDescent="0.25">
      <c r="A4">
        <v>3</v>
      </c>
      <c r="B4" s="26">
        <v>45730</v>
      </c>
      <c r="C4">
        <v>4</v>
      </c>
      <c r="D4">
        <v>1</v>
      </c>
      <c r="E4" t="s">
        <v>137</v>
      </c>
      <c r="I4" s="8" t="s">
        <v>136</v>
      </c>
      <c r="J4">
        <v>2</v>
      </c>
    </row>
    <row r="5" spans="1:10" x14ac:dyDescent="0.25">
      <c r="A5">
        <v>4</v>
      </c>
      <c r="B5" s="26">
        <v>45765</v>
      </c>
      <c r="C5">
        <v>5</v>
      </c>
      <c r="D5">
        <v>1</v>
      </c>
      <c r="E5" t="s">
        <v>37</v>
      </c>
      <c r="I5" s="8" t="s">
        <v>37</v>
      </c>
      <c r="J5">
        <v>2</v>
      </c>
    </row>
    <row r="6" spans="1:10" x14ac:dyDescent="0.25">
      <c r="A6">
        <v>5</v>
      </c>
      <c r="B6" s="26">
        <v>45954</v>
      </c>
      <c r="C6">
        <v>5</v>
      </c>
      <c r="D6">
        <v>1</v>
      </c>
      <c r="E6" t="s">
        <v>37</v>
      </c>
      <c r="I6" s="8" t="s">
        <v>34</v>
      </c>
      <c r="J6">
        <v>2</v>
      </c>
    </row>
    <row r="7" spans="1:10" x14ac:dyDescent="0.25">
      <c r="A7">
        <v>6</v>
      </c>
      <c r="B7" s="26">
        <v>45982</v>
      </c>
      <c r="C7">
        <v>1</v>
      </c>
      <c r="D7">
        <v>1</v>
      </c>
      <c r="E7" t="s">
        <v>34</v>
      </c>
      <c r="I7" s="8" t="s">
        <v>137</v>
      </c>
      <c r="J7">
        <v>1</v>
      </c>
    </row>
    <row r="8" spans="1:10" x14ac:dyDescent="0.25">
      <c r="A8">
        <v>7</v>
      </c>
      <c r="B8" s="26">
        <v>46010</v>
      </c>
      <c r="C8">
        <v>6</v>
      </c>
      <c r="D8">
        <v>1</v>
      </c>
      <c r="E8" t="s">
        <v>136</v>
      </c>
      <c r="I8" s="8" t="s">
        <v>139</v>
      </c>
      <c r="J8">
        <v>7</v>
      </c>
    </row>
  </sheetData>
  <pageMargins left="0.7" right="0.7" top="0.75" bottom="0.75" header="0.3" footer="0.3"/>
  <drawing r:id="rId2"/>
  <tableParts count="1">
    <tablePart r:id="rId3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0A69C7-3A53-477B-90B2-AFD36830B5CB}">
  <dimension ref="A1:B12"/>
  <sheetViews>
    <sheetView workbookViewId="0">
      <selection activeCell="B2" sqref="B2"/>
    </sheetView>
  </sheetViews>
  <sheetFormatPr defaultRowHeight="15" x14ac:dyDescent="0.25"/>
  <cols>
    <col min="1" max="1" width="18.42578125" bestFit="1" customWidth="1"/>
    <col min="2" max="2" width="16.42578125" bestFit="1" customWidth="1"/>
  </cols>
  <sheetData>
    <row r="1" spans="1:2" x14ac:dyDescent="0.25">
      <c r="A1" s="91" t="s">
        <v>135</v>
      </c>
      <c r="B1" s="32" t="s">
        <v>143</v>
      </c>
    </row>
    <row r="2" spans="1:2" x14ac:dyDescent="0.25">
      <c r="A2" s="92" t="s">
        <v>37</v>
      </c>
      <c r="B2" s="93">
        <v>350</v>
      </c>
    </row>
    <row r="3" spans="1:2" x14ac:dyDescent="0.25">
      <c r="A3" s="92" t="s">
        <v>136</v>
      </c>
      <c r="B3" s="93">
        <v>310</v>
      </c>
    </row>
    <row r="4" spans="1:2" x14ac:dyDescent="0.25">
      <c r="A4" s="92" t="s">
        <v>35</v>
      </c>
      <c r="B4" s="93">
        <v>290</v>
      </c>
    </row>
    <row r="5" spans="1:2" x14ac:dyDescent="0.25">
      <c r="A5" s="92" t="s">
        <v>34</v>
      </c>
      <c r="B5" s="93">
        <v>230</v>
      </c>
    </row>
    <row r="6" spans="1:2" x14ac:dyDescent="0.25">
      <c r="A6" s="92" t="s">
        <v>144</v>
      </c>
      <c r="B6" s="93">
        <v>210</v>
      </c>
    </row>
    <row r="7" spans="1:2" x14ac:dyDescent="0.25">
      <c r="A7" s="92" t="s">
        <v>138</v>
      </c>
      <c r="B7" s="93">
        <v>190</v>
      </c>
    </row>
    <row r="8" spans="1:2" x14ac:dyDescent="0.25">
      <c r="A8" s="92" t="s">
        <v>137</v>
      </c>
      <c r="B8" s="93">
        <v>160</v>
      </c>
    </row>
    <row r="9" spans="1:2" x14ac:dyDescent="0.25">
      <c r="A9" s="92" t="s">
        <v>141</v>
      </c>
      <c r="B9" s="93">
        <v>150</v>
      </c>
    </row>
    <row r="10" spans="1:2" x14ac:dyDescent="0.25">
      <c r="A10" s="92" t="s">
        <v>33</v>
      </c>
      <c r="B10" s="93">
        <v>60</v>
      </c>
    </row>
    <row r="11" spans="1:2" x14ac:dyDescent="0.25">
      <c r="A11" s="92" t="s">
        <v>170</v>
      </c>
      <c r="B11" s="93">
        <v>30</v>
      </c>
    </row>
    <row r="12" spans="1:2" x14ac:dyDescent="0.25">
      <c r="A12" s="92" t="s">
        <v>139</v>
      </c>
      <c r="B12" s="93">
        <v>1980</v>
      </c>
    </row>
  </sheetData>
  <pageMargins left="0.7" right="0.7" top="0.75" bottom="0.75" header="0.3" footer="0.3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�� 
</file>

<file path=customXml/item20.xml>�� 
</file>

<file path=customXml/item21.xml>�� 
</file>

<file path=customXml/itemProps1.xml><?xml version="1.0" encoding="utf-8"?>
<ds:datastoreItem xmlns:ds="http://schemas.openxmlformats.org/officeDocument/2006/customXml" ds:itemID="{345CD2C5-10E0-460D-A2BB-298897CFD0A2}">
  <ds:schemaRefs/>
</ds:datastoreItem>
</file>

<file path=customXml/itemProps2.xml><?xml version="1.0" encoding="utf-8"?>
<ds:datastoreItem xmlns:ds="http://schemas.openxmlformats.org/officeDocument/2006/customXml" ds:itemID="{057F243A-E87F-4F40-991E-330B7C4263D3}">
  <ds:schemaRefs/>
</ds:datastoreItem>
</file>

<file path=customXml/itemProps3.xml><?xml version="1.0" encoding="utf-8"?>
<ds:datastoreItem xmlns:ds="http://schemas.openxmlformats.org/officeDocument/2006/customXml" ds:itemID="{E8F285D8-FC91-44B3-852B-ABA8D3EB8C6A}">
  <ds:schemaRefs/>
</ds:datastoreItem>
</file>

<file path=customXml/itemProps4.xml><?xml version="1.0" encoding="utf-8"?>
<ds:datastoreItem xmlns:ds="http://schemas.openxmlformats.org/officeDocument/2006/customXml" ds:itemID="{3E5B5B4C-7566-46E9-9303-40ECAF6D1F14}">
  <ds:schemaRefs/>
</ds:datastoreItem>
</file>

<file path=customXml/itemProps5.xml><?xml version="1.0" encoding="utf-8"?>
<ds:datastoreItem xmlns:ds="http://schemas.openxmlformats.org/officeDocument/2006/customXml" ds:itemID="{C81A1664-9F37-4081-BE13-43F157E1AEC8}">
  <ds:schemaRefs>
    <ds:schemaRef ds:uri="http://schemas.microsoft.com/DataMashup"/>
  </ds:schemaRefs>
</ds:datastoreItem>
</file>

<file path=customXml/itemProps6.xml><?xml version="1.0" encoding="utf-8"?>
<ds:datastoreItem xmlns:ds="http://schemas.openxmlformats.org/officeDocument/2006/customXml" ds:itemID="{1B6E5AA7-316D-4FC8-B6F6-6BCA5092A92A}">
  <ds:schemaRefs/>
</ds:datastoreItem>
</file>

<file path=customXml/itemProps7.xml><?xml version="1.0" encoding="utf-8"?>
<ds:datastoreItem xmlns:ds="http://schemas.openxmlformats.org/officeDocument/2006/customXml" ds:itemID="{AC692785-ADC7-4FB5-A72D-2B474366231B}">
  <ds:schemaRefs/>
</ds:datastoreItem>
</file>

<file path=customXml/itemProps8.xml><?xml version="1.0" encoding="utf-8"?>
<ds:datastoreItem xmlns:ds="http://schemas.openxmlformats.org/officeDocument/2006/customXml" ds:itemID="{A26AA9E7-C82D-4FA7-8F00-0D415293F4F1}">
  <ds:schemaRefs/>
</ds:datastoreItem>
</file>

<file path=customXml/itemProps9.xml><?xml version="1.0" encoding="utf-8"?>
<ds:datastoreItem xmlns:ds="http://schemas.openxmlformats.org/officeDocument/2006/customXml" ds:itemID="{41B11674-5C68-4B1B-987B-B5BD2FDA6BAD}">
  <ds:schemaRefs/>
</ds:datastoreItem>
</file>

<file path=customXml/itemProps10.xml><?xml version="1.0" encoding="utf-8"?>
<ds:datastoreItem xmlns:ds="http://schemas.openxmlformats.org/officeDocument/2006/customXml" ds:itemID="{437BF43A-A4DC-4939-9AB5-EA518DDB9427}">
  <ds:schemaRefs/>
</ds:datastoreItem>
</file>

<file path=customXml/itemProps11.xml><?xml version="1.0" encoding="utf-8"?>
<ds:datastoreItem xmlns:ds="http://schemas.openxmlformats.org/officeDocument/2006/customXml" ds:itemID="{43592725-0838-4CD7-85AE-031D3EF1E76B}">
  <ds:schemaRefs/>
</ds:datastoreItem>
</file>

<file path=customXml/itemProps12.xml><?xml version="1.0" encoding="utf-8"?>
<ds:datastoreItem xmlns:ds="http://schemas.openxmlformats.org/officeDocument/2006/customXml" ds:itemID="{2974734E-B9E8-456B-A1E5-B75EFEF2973E}">
  <ds:schemaRefs/>
</ds:datastoreItem>
</file>

<file path=customXml/itemProps13.xml><?xml version="1.0" encoding="utf-8"?>
<ds:datastoreItem xmlns:ds="http://schemas.openxmlformats.org/officeDocument/2006/customXml" ds:itemID="{EE25E8BD-CCB8-4AC4-8183-3ED7FBB98A58}">
  <ds:schemaRefs/>
</ds:datastoreItem>
</file>

<file path=customXml/itemProps14.xml><?xml version="1.0" encoding="utf-8"?>
<ds:datastoreItem xmlns:ds="http://schemas.openxmlformats.org/officeDocument/2006/customXml" ds:itemID="{3308B06A-7361-48E8-B0AA-7F6E9F7717DA}">
  <ds:schemaRefs/>
</ds:datastoreItem>
</file>

<file path=customXml/itemProps15.xml><?xml version="1.0" encoding="utf-8"?>
<ds:datastoreItem xmlns:ds="http://schemas.openxmlformats.org/officeDocument/2006/customXml" ds:itemID="{2E22D486-0CD0-49B0-8603-2586B1423B69}">
  <ds:schemaRefs/>
</ds:datastoreItem>
</file>

<file path=customXml/itemProps16.xml><?xml version="1.0" encoding="utf-8"?>
<ds:datastoreItem xmlns:ds="http://schemas.openxmlformats.org/officeDocument/2006/customXml" ds:itemID="{15F55ABA-A080-4ECF-B66D-A1528DEE2EDE}">
  <ds:schemaRefs/>
</ds:datastoreItem>
</file>

<file path=customXml/itemProps17.xml><?xml version="1.0" encoding="utf-8"?>
<ds:datastoreItem xmlns:ds="http://schemas.openxmlformats.org/officeDocument/2006/customXml" ds:itemID="{6CC38131-3B88-4A50-A8A3-655A188EA05F}">
  <ds:schemaRefs/>
</ds:datastoreItem>
</file>

<file path=customXml/itemProps18.xml><?xml version="1.0" encoding="utf-8"?>
<ds:datastoreItem xmlns:ds="http://schemas.openxmlformats.org/officeDocument/2006/customXml" ds:itemID="{B2BF0121-72E3-4D39-839C-9D88795F96D2}">
  <ds:schemaRefs/>
</ds:datastoreItem>
</file>

<file path=customXml/itemProps19.xml><?xml version="1.0" encoding="utf-8"?>
<ds:datastoreItem xmlns:ds="http://schemas.openxmlformats.org/officeDocument/2006/customXml" ds:itemID="{B4686F30-7BAE-46F2-8696-CEA205BFAF09}">
  <ds:schemaRefs/>
</ds:datastoreItem>
</file>

<file path=customXml/itemProps20.xml><?xml version="1.0" encoding="utf-8"?>
<ds:datastoreItem xmlns:ds="http://schemas.openxmlformats.org/officeDocument/2006/customXml" ds:itemID="{D45A9ACE-97E6-41E7-AD1F-189811B2D86B}">
  <ds:schemaRefs/>
</ds:datastoreItem>
</file>

<file path=customXml/itemProps21.xml><?xml version="1.0" encoding="utf-8"?>
<ds:datastoreItem xmlns:ds="http://schemas.openxmlformats.org/officeDocument/2006/customXml" ds:itemID="{85532D29-FCE9-4F50-B716-E5691C53B521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1</vt:i4>
      </vt:variant>
    </vt:vector>
  </HeadingPairs>
  <TitlesOfParts>
    <vt:vector size="12" baseType="lpstr">
      <vt:lpstr>Live Poker</vt:lpstr>
      <vt:lpstr>Online Poker</vt:lpstr>
      <vt:lpstr>online Home game</vt:lpstr>
      <vt:lpstr>Categories</vt:lpstr>
      <vt:lpstr>Home Game Structure</vt:lpstr>
      <vt:lpstr>Bar Poker Structure</vt:lpstr>
      <vt:lpstr>League Points Pivot</vt:lpstr>
      <vt:lpstr>ROI Pivot</vt:lpstr>
      <vt:lpstr>qry_Player_Stats</vt:lpstr>
      <vt:lpstr>Hosts</vt:lpstr>
      <vt:lpstr>Total Spend</vt:lpstr>
      <vt:lpstr>Starting_Stack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Setup</dc:creator>
  <cp:lastModifiedBy>Ciaran Lynch</cp:lastModifiedBy>
  <cp:lastPrinted>2024-07-25T19:59:41Z</cp:lastPrinted>
  <dcterms:created xsi:type="dcterms:W3CDTF">2017-06-21T19:36:34Z</dcterms:created>
  <dcterms:modified xsi:type="dcterms:W3CDTF">2025-12-23T14:53:34Z</dcterms:modified>
</cp:coreProperties>
</file>